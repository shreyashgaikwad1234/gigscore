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eyash\Downloads\"/>
    </mc:Choice>
  </mc:AlternateContent>
  <xr:revisionPtr revIDLastSave="0" documentId="13_ncr:1_{B924D343-1413-46F6-BD01-1B19EBB98164}" xr6:coauthVersionLast="47" xr6:coauthVersionMax="47" xr10:uidLastSave="{00000000-0000-0000-0000-000000000000}"/>
  <bookViews>
    <workbookView xWindow="-108" yWindow="-108" windowWidth="23256" windowHeight="13896" tabRatio="500" firstSheet="1" activeTab="4" xr2:uid="{00000000-000D-0000-FFFF-FFFF00000000}"/>
  </bookViews>
  <sheets>
    <sheet name="READ_FIRST" sheetId="1" r:id="rId1"/>
    <sheet name="Simulated_Data" sheetId="2" r:id="rId2"/>
    <sheet name="Sources_and_Assumptions" sheetId="3" r:id="rId3"/>
    <sheet name="Calibration_Check" sheetId="4" r:id="rId4"/>
    <sheet name="Generation_Lo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4" l="1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<sst xmlns="http://schemas.openxmlformats.org/spreadsheetml/2006/main" count="5328" uniqueCount="589">
  <si>
    <t>SIMULATED DATASET — NOT REAL INTERVIEW DATA</t>
  </si>
  <si>
    <t>Every one of the 120 rows in this file was generated by a computer program (simulate_survey.py, random seed 20261011). No gig worker was interviewed to produce it.</t>
  </si>
  <si>
    <t>Purpose: to let the team test its analysis code, dashboard and report tables BEFORE the real field survey is complete, and to serve as the clearly-labelled 'simulated panel' described in Section 4.3 of the mid-semester report.</t>
  </si>
  <si>
    <t>The value distributions are calibrated to published studies (see Sources_and_Assumptions). Calibration makes the numbers plausible; it does not make them data. Any statistic computed from this file describes the simulation, not Pune's gig workers.</t>
  </si>
  <si>
    <t>Rules: (1) Keep this file separate from Primary_Survey_Workbook. (2) Never paste these rows into Data_Entry alongside real interviews. (3) If any figure from this file appears in a report, slide or table, it must be labelled 'simulated' in the same sentence or caption. (4) Replace with real survey data as soon as it exists.</t>
  </si>
  <si>
    <t>Each row carries data_status = SIMULATED, resp_id = SIM-###, interviewer = SIM, hub_name prefixed 'SIMULATED', and a notes field saying so. Please do not remove these markers.</t>
  </si>
  <si>
    <t>resp_id</t>
  </si>
  <si>
    <t>interview_date</t>
  </si>
  <si>
    <t>area</t>
  </si>
  <si>
    <t>hub_name</t>
  </si>
  <si>
    <t>language</t>
  </si>
  <si>
    <t>consent</t>
  </si>
  <si>
    <t>duration_min</t>
  </si>
  <si>
    <t>age_band</t>
  </si>
  <si>
    <t>gender</t>
  </si>
  <si>
    <t>education</t>
  </si>
  <si>
    <t>origin</t>
  </si>
  <si>
    <t>household_dependents</t>
  </si>
  <si>
    <t>platform_primary</t>
  </si>
  <si>
    <t>platforms_count</t>
  </si>
  <si>
    <t>tenure_months</t>
  </si>
  <si>
    <t>vehicle</t>
  </si>
  <si>
    <t>active_days_week</t>
  </si>
  <si>
    <t>hours_per_day</t>
  </si>
  <si>
    <t>weekly_earn_band</t>
  </si>
  <si>
    <t>best_week_band</t>
  </si>
  <si>
    <t>worst_week_band</t>
  </si>
  <si>
    <t>weekly_fuel_cost</t>
  </si>
  <si>
    <t>low_months</t>
  </si>
  <si>
    <t>earnings_trend_3m</t>
  </si>
  <si>
    <t>digital_share</t>
  </si>
  <si>
    <t>payout_frequency</t>
  </si>
  <si>
    <t>savings_buffer</t>
  </si>
  <si>
    <t>buffer_weeks</t>
  </si>
  <si>
    <t>bills_on_time</t>
  </si>
  <si>
    <t>upi_daily_use</t>
  </si>
  <si>
    <t>accounts_count</t>
  </si>
  <si>
    <t>remittance_home</t>
  </si>
  <si>
    <t>spend_within_day</t>
  </si>
  <si>
    <t>cibil_known</t>
  </si>
  <si>
    <t>applied_loan_2y</t>
  </si>
  <si>
    <t>loan_outcome</t>
  </si>
  <si>
    <t>rejection_reason</t>
  </si>
  <si>
    <t>loan_sources</t>
  </si>
  <si>
    <t>emi_monthly</t>
  </si>
  <si>
    <t>missed_emi_12m</t>
  </si>
  <si>
    <t>max_delay_days</t>
  </si>
  <si>
    <t>stress_cause</t>
  </si>
  <si>
    <t>contacted_before_miss</t>
  </si>
  <si>
    <t>early_help_useful</t>
  </si>
  <si>
    <t>informal_rate</t>
  </si>
  <si>
    <t>share_platform</t>
  </si>
  <si>
    <t>share_bank_upi</t>
  </si>
  <si>
    <t>share_utility</t>
  </si>
  <si>
    <t>refusal_reason</t>
  </si>
  <si>
    <t>notes</t>
  </si>
  <si>
    <t>earn_mid</t>
  </si>
  <si>
    <t>best_mid</t>
  </si>
  <si>
    <t>worst_mid</t>
  </si>
  <si>
    <t>net_weekly</t>
  </si>
  <si>
    <t>fuel_share</t>
  </si>
  <si>
    <t>variability_ratio</t>
  </si>
  <si>
    <t>regularity_index</t>
  </si>
  <si>
    <t>monthly_net</t>
  </si>
  <si>
    <t>obligation_ratio</t>
  </si>
  <si>
    <t>buffer_weeks_num</t>
  </si>
  <si>
    <t>low_months_count</t>
  </si>
  <si>
    <t>loan_sources_count</t>
  </si>
  <si>
    <t>stress_flag</t>
  </si>
  <si>
    <t>sma_bucket</t>
  </si>
  <si>
    <t>credit_invisible</t>
  </si>
  <si>
    <t>consent_index</t>
  </si>
  <si>
    <t>_weekly_gross</t>
  </si>
  <si>
    <t>_monthly_gross</t>
  </si>
  <si>
    <t>SIM-001</t>
  </si>
  <si>
    <t>Hinjewadi / Wakad</t>
  </si>
  <si>
    <t>SIMULATED – dark store rider area</t>
  </si>
  <si>
    <t>Marathi</t>
  </si>
  <si>
    <t>Yes</t>
  </si>
  <si>
    <t>18–24</t>
  </si>
  <si>
    <t>Male</t>
  </si>
  <si>
    <t>Graduate or above</t>
  </si>
  <si>
    <t>Pune district</t>
  </si>
  <si>
    <t>Swiggy Instamart</t>
  </si>
  <si>
    <t>1</t>
  </si>
  <si>
    <t>Own, on EMI</t>
  </si>
  <si>
    <t>5,000 – 6,999</t>
  </si>
  <si>
    <t>7,000 – 8,999</t>
  </si>
  <si>
    <t>2,000 – 3,499</t>
  </si>
  <si>
    <t>Higher</t>
  </si>
  <si>
    <t>More than 75%</t>
  </si>
  <si>
    <t>Weekly</t>
  </si>
  <si>
    <t>No</t>
  </si>
  <si>
    <t>No savings</t>
  </si>
  <si>
    <t>Sometimes late</t>
  </si>
  <si>
    <t>Yes, mostly</t>
  </si>
  <si>
    <t>About half</t>
  </si>
  <si>
    <t>Yes, I have a score</t>
  </si>
  <si>
    <t>Did not apply</t>
  </si>
  <si>
    <t>Did not need</t>
  </si>
  <si>
    <t>Bank</t>
  </si>
  <si>
    <t>Not applicable</t>
  </si>
  <si>
    <t>2 – Probably not</t>
  </si>
  <si>
    <t>5 – Definitely yes</t>
  </si>
  <si>
    <t>4 – Probably yes</t>
  </si>
  <si>
    <t>Fear of misuse / fraud</t>
  </si>
  <si>
    <t>SIMULATED ROW – generated by simulate_survey.py, not a real interview</t>
  </si>
  <si>
    <t>None</t>
  </si>
  <si>
    <t>SIM-002</t>
  </si>
  <si>
    <t>SIMULATED – rider point outside cloud kitchen</t>
  </si>
  <si>
    <t>30–34</t>
  </si>
  <si>
    <t>Other district of Maharashtra</t>
  </si>
  <si>
    <t>Swiggy (food)</t>
  </si>
  <si>
    <t>Rented (incl. EV rental)</t>
  </si>
  <si>
    <t>9,000 or more</t>
  </si>
  <si>
    <t>May;Aug;Sep</t>
  </si>
  <si>
    <t>Lower</t>
  </si>
  <si>
    <t>50–75%</t>
  </si>
  <si>
    <t>Always on time</t>
  </si>
  <si>
    <t>Rarely / no</t>
  </si>
  <si>
    <t>No, I have no score</t>
  </si>
  <si>
    <t>No CIBIL / credit history</t>
  </si>
  <si>
    <t>No loan to repay</t>
  </si>
  <si>
    <t>SIM-003</t>
  </si>
  <si>
    <t>SIMULATED – cab waiting point</t>
  </si>
  <si>
    <t>Female</t>
  </si>
  <si>
    <t>Diploma / ITI</t>
  </si>
  <si>
    <t>Other state</t>
  </si>
  <si>
    <t>Uber / Ola / Rapido (ride-hailing)</t>
  </si>
  <si>
    <t>Below 2,000</t>
  </si>
  <si>
    <t>Sometimes</t>
  </si>
  <si>
    <t>3 or more</t>
  </si>
  <si>
    <t>Yes, but irregular</t>
  </si>
  <si>
    <t>Little of it</t>
  </si>
  <si>
    <t>Interest too high</t>
  </si>
  <si>
    <t>Privacy</t>
  </si>
  <si>
    <t>SIM-004</t>
  </si>
  <si>
    <t>SIMULATED – parcel delivery station</t>
  </si>
  <si>
    <t>Hindi</t>
  </si>
  <si>
    <t>Porter / Dunzo / other logistics</t>
  </si>
  <si>
    <t>3,500 – 4,999</t>
  </si>
  <si>
    <t>Jul;Sep</t>
  </si>
  <si>
    <t>About the same</t>
  </si>
  <si>
    <t>Both / varies</t>
  </si>
  <si>
    <t>Yes, fixed amount every month</t>
  </si>
  <si>
    <t>No income proof / salary slip</t>
  </si>
  <si>
    <t>Family or friends</t>
  </si>
  <si>
    <t>Platform might find out</t>
  </si>
  <si>
    <t>SIM-005</t>
  </si>
  <si>
    <t>Own, fully paid</t>
  </si>
  <si>
    <t>Jun;Jul</t>
  </si>
  <si>
    <t>25–50%</t>
  </si>
  <si>
    <t>Don't know</t>
  </si>
  <si>
    <t>3 – Not sure</t>
  </si>
  <si>
    <t>SIM-006</t>
  </si>
  <si>
    <t>SIMULATED – bike-taxi / auto stand</t>
  </si>
  <si>
    <t>25–29</t>
  </si>
  <si>
    <t>Aug</t>
  </si>
  <si>
    <t>1–2 weeks</t>
  </si>
  <si>
    <t>Approved</t>
  </si>
  <si>
    <t>Don't understand how it works</t>
  </si>
  <si>
    <t>SIM-007</t>
  </si>
  <si>
    <t>SIMULATED – dark store (quick-commerce)</t>
  </si>
  <si>
    <t>10th pass</t>
  </si>
  <si>
    <t>Jul;Aug</t>
  </si>
  <si>
    <t>Shopkeeper credit</t>
  </si>
  <si>
    <t>SIM-008</t>
  </si>
  <si>
    <t>Zepto</t>
  </si>
  <si>
    <t>Daily</t>
  </si>
  <si>
    <t>2</t>
  </si>
  <si>
    <t>Loan app;Family or friends</t>
  </si>
  <si>
    <t>SIM-009</t>
  </si>
  <si>
    <t>SIMULATED – food-delivery waiting spot near mall</t>
  </si>
  <si>
    <t>Zomato (food)</t>
  </si>
  <si>
    <t>Jun;Jul;Sep</t>
  </si>
  <si>
    <t>Less than 1 week</t>
  </si>
  <si>
    <t>Loan app</t>
  </si>
  <si>
    <t>SIM-010</t>
  </si>
  <si>
    <t>12th pass</t>
  </si>
  <si>
    <t>Blinkit</t>
  </si>
  <si>
    <t>Mar;Aug;Sep</t>
  </si>
  <si>
    <t>Most of it</t>
  </si>
  <si>
    <t>NBFC;Family or friends</t>
  </si>
  <si>
    <t>31–60 days</t>
  </si>
  <si>
    <t>Vehicle repair / accident</t>
  </si>
  <si>
    <t>SMA-1</t>
  </si>
  <si>
    <t>SIM-011</t>
  </si>
  <si>
    <t>Mixed</t>
  </si>
  <si>
    <t>May;Aug</t>
  </si>
  <si>
    <t>Family or friends;Moneylender</t>
  </si>
  <si>
    <t>SIM-012</t>
  </si>
  <si>
    <t>35–44</t>
  </si>
  <si>
    <t>Jun;Sep</t>
  </si>
  <si>
    <t>NBFC;Moneylender</t>
  </si>
  <si>
    <t>SIM-013</t>
  </si>
  <si>
    <t>SIMULATED – logistics pickup point</t>
  </si>
  <si>
    <t>Below 10th</t>
  </si>
  <si>
    <t>Amazon / Flipkart / Ekart (parcel)</t>
  </si>
  <si>
    <t>Bicycle / no vehicle</t>
  </si>
  <si>
    <t>NBFC</t>
  </si>
  <si>
    <t>SIM-014</t>
  </si>
  <si>
    <t>Mar</t>
  </si>
  <si>
    <t>2–4 weeks</t>
  </si>
  <si>
    <t>SIM-015</t>
  </si>
  <si>
    <t>Jan;Jun</t>
  </si>
  <si>
    <t>SIM-016</t>
  </si>
  <si>
    <t>Aug;Sep</t>
  </si>
  <si>
    <t>Bank;Moneylender;Platform / company advance</t>
  </si>
  <si>
    <t>SIM-017</t>
  </si>
  <si>
    <t>Baner / Aundh / Pashan</t>
  </si>
  <si>
    <t>SIM-018</t>
  </si>
  <si>
    <t>Other</t>
  </si>
  <si>
    <t>SIM-019</t>
  </si>
  <si>
    <t>SIM-020</t>
  </si>
  <si>
    <t>Jun</t>
  </si>
  <si>
    <t>Often late</t>
  </si>
  <si>
    <t>Rejected</t>
  </si>
  <si>
    <t>SIM-021</t>
  </si>
  <si>
    <t>SIMULATED – restaurant cluster rider point</t>
  </si>
  <si>
    <t>Jun;Aug;Sep</t>
  </si>
  <si>
    <t>1 – Definitely not</t>
  </si>
  <si>
    <t>SIM-022</t>
  </si>
  <si>
    <t>SIM-023</t>
  </si>
  <si>
    <t>1–15 days</t>
  </si>
  <si>
    <t>SMA-0</t>
  </si>
  <si>
    <t>SIM-024</t>
  </si>
  <si>
    <t>Sep</t>
  </si>
  <si>
    <t>SIM-025</t>
  </si>
  <si>
    <t>English</t>
  </si>
  <si>
    <t>Fear of rejection</t>
  </si>
  <si>
    <t>SIM-026</t>
  </si>
  <si>
    <t>May;Jun;Jul</t>
  </si>
  <si>
    <t>SIM-027</t>
  </si>
  <si>
    <t>Feb</t>
  </si>
  <si>
    <t>SIM-028</t>
  </si>
  <si>
    <t>Jun;Aug</t>
  </si>
  <si>
    <t>SIM-029</t>
  </si>
  <si>
    <t>Kothrud / Karve Nagar / Warje</t>
  </si>
  <si>
    <t>SIM-030</t>
  </si>
  <si>
    <t>SIM-031</t>
  </si>
  <si>
    <t>SIM-032</t>
  </si>
  <si>
    <t>SIM-033</t>
  </si>
  <si>
    <t>SIM-034</t>
  </si>
  <si>
    <t>SIM-035</t>
  </si>
  <si>
    <t>16–30 days</t>
  </si>
  <si>
    <t>Festival or family event</t>
  </si>
  <si>
    <t>SIM-036</t>
  </si>
  <si>
    <t>SIM-037</t>
  </si>
  <si>
    <t>SIM-038</t>
  </si>
  <si>
    <t>Jun;Jul;Aug</t>
  </si>
  <si>
    <t>SIM-039</t>
  </si>
  <si>
    <t>SIM-040</t>
  </si>
  <si>
    <t>Jul;Aug;Sep</t>
  </si>
  <si>
    <t>SIM-041</t>
  </si>
  <si>
    <t>Shivajinagar / Deccan / FC Road</t>
  </si>
  <si>
    <t>SIM-042</t>
  </si>
  <si>
    <t>Fewer orders / low earnings</t>
  </si>
  <si>
    <t>Maybe</t>
  </si>
  <si>
    <t>SIM-043</t>
  </si>
  <si>
    <t>NBFC;Loan app</t>
  </si>
  <si>
    <t>SIM-044</t>
  </si>
  <si>
    <t>NBFC;Loan app;Moneylender</t>
  </si>
  <si>
    <t>SIM-045</t>
  </si>
  <si>
    <t>Jul</t>
  </si>
  <si>
    <t>SIM-046</t>
  </si>
  <si>
    <t>SIM-047</t>
  </si>
  <si>
    <t>SIM-048</t>
  </si>
  <si>
    <t>Apr;Jun;Jul;Sep</t>
  </si>
  <si>
    <t>SIM-049</t>
  </si>
  <si>
    <t>Platform / company advance</t>
  </si>
  <si>
    <t>SIM-050</t>
  </si>
  <si>
    <t>Bank;Family or friends</t>
  </si>
  <si>
    <t>SIM-051</t>
  </si>
  <si>
    <t>Apr</t>
  </si>
  <si>
    <t>SIM-052</t>
  </si>
  <si>
    <t>More than 60 days</t>
  </si>
  <si>
    <t>SMA-2+</t>
  </si>
  <si>
    <t>SIM-053</t>
  </si>
  <si>
    <t>Camp / Swargate / Bibwewadi</t>
  </si>
  <si>
    <t>Illness (self or family)</t>
  </si>
  <si>
    <t>SIM-054</t>
  </si>
  <si>
    <t>SIM-055</t>
  </si>
  <si>
    <t>More than 4 weeks</t>
  </si>
  <si>
    <t>NBFC;Loan app;Shopkeeper credit</t>
  </si>
  <si>
    <t>SIM-056</t>
  </si>
  <si>
    <t>May;Sep</t>
  </si>
  <si>
    <t>SIM-057</t>
  </si>
  <si>
    <t>SIM-058</t>
  </si>
  <si>
    <t>SIM-059</t>
  </si>
  <si>
    <t>SIM-060</t>
  </si>
  <si>
    <t>Sent money home</t>
  </si>
  <si>
    <t>SIM-061</t>
  </si>
  <si>
    <t>SIM-062</t>
  </si>
  <si>
    <t>NBFC;Moneylender;Platform / company advance</t>
  </si>
  <si>
    <t>SIM-063</t>
  </si>
  <si>
    <t>SIM-064</t>
  </si>
  <si>
    <t>SIM-065</t>
  </si>
  <si>
    <t>Hadapsar / Magarpatta</t>
  </si>
  <si>
    <t>Less than 25%</t>
  </si>
  <si>
    <t>SIM-066</t>
  </si>
  <si>
    <t>SIM-067</t>
  </si>
  <si>
    <t>SIM-068</t>
  </si>
  <si>
    <t>Bank;Loan app</t>
  </si>
  <si>
    <t>SIM-069</t>
  </si>
  <si>
    <t>SIM-070</t>
  </si>
  <si>
    <t>Shopkeeper credit;Platform / company advance</t>
  </si>
  <si>
    <t>SIM-071</t>
  </si>
  <si>
    <t>SIM-072</t>
  </si>
  <si>
    <t>Moneylender</t>
  </si>
  <si>
    <t>SIM-073</t>
  </si>
  <si>
    <t>SIM-074</t>
  </si>
  <si>
    <t>SIM-075</t>
  </si>
  <si>
    <t>SIM-076</t>
  </si>
  <si>
    <t>SIM-077</t>
  </si>
  <si>
    <t>Kharadi / Viman Nagar / Kalyani Nagar</t>
  </si>
  <si>
    <t>SIM-078</t>
  </si>
  <si>
    <t>SIM-079</t>
  </si>
  <si>
    <t>SIM-080</t>
  </si>
  <si>
    <t>SIM-081</t>
  </si>
  <si>
    <t>SIM-082</t>
  </si>
  <si>
    <t>SIM-083</t>
  </si>
  <si>
    <t>SIM-084</t>
  </si>
  <si>
    <t>Jan</t>
  </si>
  <si>
    <t>SIM-085</t>
  </si>
  <si>
    <t>Bank;Moneylender</t>
  </si>
  <si>
    <t>SIM-086</t>
  </si>
  <si>
    <t>SIM-087</t>
  </si>
  <si>
    <t>SIM-088</t>
  </si>
  <si>
    <t>SIM-089</t>
  </si>
  <si>
    <t>SIM-090</t>
  </si>
  <si>
    <t>Jan;Jun;Jul;Aug</t>
  </si>
  <si>
    <t>SIM-091</t>
  </si>
  <si>
    <t>SIM-092</t>
  </si>
  <si>
    <t>SIM-093</t>
  </si>
  <si>
    <t>Pimpri-Chinchwad (Pimpri / Chinchwad / Nigdi)</t>
  </si>
  <si>
    <t>SIM-094</t>
  </si>
  <si>
    <t>SIM-095</t>
  </si>
  <si>
    <t>SIM-096</t>
  </si>
  <si>
    <t>SIM-097</t>
  </si>
  <si>
    <t>NBFC;Shopkeeper credit;Platform / company advance</t>
  </si>
  <si>
    <t>SIM-098</t>
  </si>
  <si>
    <t>SIM-099</t>
  </si>
  <si>
    <t>SIM-100</t>
  </si>
  <si>
    <t>SIM-101</t>
  </si>
  <si>
    <t>SIM-102</t>
  </si>
  <si>
    <t>SIM-103</t>
  </si>
  <si>
    <t>May;Jun;Jul;Aug</t>
  </si>
  <si>
    <t>SIM-104</t>
  </si>
  <si>
    <t>SIM-105</t>
  </si>
  <si>
    <t>SIM-106</t>
  </si>
  <si>
    <t>SIM-107</t>
  </si>
  <si>
    <t>SIM-108</t>
  </si>
  <si>
    <t>Feb;Jun;Sep</t>
  </si>
  <si>
    <t>SIM-109</t>
  </si>
  <si>
    <t>Katraj / Dhankawadi / Sinhagad Road</t>
  </si>
  <si>
    <t>SIM-110</t>
  </si>
  <si>
    <t>SIM-111</t>
  </si>
  <si>
    <t>Loan app;Moneylender</t>
  </si>
  <si>
    <t>SIM-112</t>
  </si>
  <si>
    <t>SIM-113</t>
  </si>
  <si>
    <t>SIM-114</t>
  </si>
  <si>
    <t>SIM-115</t>
  </si>
  <si>
    <t>SIM-116</t>
  </si>
  <si>
    <t>SIM-117</t>
  </si>
  <si>
    <t>SIM-118</t>
  </si>
  <si>
    <t>SIM-119</t>
  </si>
  <si>
    <t>May;Jul;Sep</t>
  </si>
  <si>
    <t>SIM-120</t>
  </si>
  <si>
    <t>How each variable was simulated, and the published figure it is calibrated to</t>
  </si>
  <si>
    <t>Where no published number exists the entry says 'judgement'. Sources were located in October 2026; the team should open each link before citing.</t>
  </si>
  <si>
    <t>Variable(s)</t>
  </si>
  <si>
    <t>Simulation rule</t>
  </si>
  <si>
    <t>Calibration target</t>
  </si>
  <si>
    <t>Published figure and source</t>
  </si>
  <si>
    <t>Sample frame</t>
  </si>
  <si>
    <t>120 rows allocated to 9 Pune clusters exactly as the Field_Plan quotas (16/12/12/12/12/12/16/16/12); interview dates 13–23 Oct 2026; consent = Yes for all rows</t>
  </si>
  <si>
    <t>Matches the team's own field plan</t>
  </si>
  <si>
    <t>Project blueprint and Field_Plan sheet; Pune headcount context: ~1.45 lakh gig workers in Pune + PCMC incl. ~25,000 food-delivery (union estimate, Inc42, Oct 2023); Maharashtra &gt;5 lakh across 320+ platforms (Govt of Maharashtra, Aug 2025)</t>
  </si>
  <si>
    <t>Segment drawn per area: food ≈40%, quick-commerce ≈30%, parcel ≈15%, ride-hailing ≈15%; IT-park areas heavier on quick-commerce, Pimpri/Hadapsar on parcel</t>
  </si>
  <si>
    <t>Design choice from the field plan</t>
  </si>
  <si>
    <t>Redseer 2026: delivery 2.4 m, ride-hailing 3.4 m nationally (https://redseer.com/digests/india-gig-workers-2026-market-growth-insights/)</t>
  </si>
  <si>
    <t>Normal, mean 28, SD 6, truncated 19–48</t>
  </si>
  <si>
    <t>Mean ≈28; 94% aged 21–40</t>
  </si>
  <si>
    <t>IDinsight DERII 2025 mean 28.1 (n=2,547); PAIGAM 2024 94% in 21–40 (n=5,082); NCAER 2022 mean 29</t>
  </si>
  <si>
    <t>95% male</t>
  </si>
  <si>
    <t>&lt;1–4% female</t>
  </si>
  <si>
    <t>IDinsight &lt;1% women (admin data); Primus 2025 3.7%; NCAER 2022 1%</t>
  </si>
  <si>
    <t>&lt;10th 15%; 10th 18%; 12th 22%; diploma 12%; graduate+ 33%</t>
  </si>
  <si>
    <t>~32% college or higher</t>
  </si>
  <si>
    <t>Primus 2025 (17.9% &lt;10th, 33.5% 10–12th, 8.7% diploma, 36.7% graduate/PG); IDinsight 32% college+</t>
  </si>
  <si>
    <t>Pune 50%; other Maharashtra district 25%; other state 25%</t>
  </si>
  <si>
    <t>51% migrants, split ~25/26</t>
  </si>
  <si>
    <t>IDinsight DERII / NBER w34680: 51% migrants (25% intra-state, 26% inter-state)</t>
  </si>
  <si>
    <t>0: 18%, 1: 15%, 2: 20%, 3: 22%, 4: 14%, 5: 7%, 6: 4%</t>
  </si>
  <si>
    <t>56% support 3–5 members; HH size 4.4</t>
  </si>
  <si>
    <t>PAIGAM 2024; IDinsight household size 4.4, 52% primary breadwinner</t>
  </si>
  <si>
    <t>2+ platforms: delivery/QC 22%, parcel 30%, ride-hailing 50%</t>
  </si>
  <si>
    <t>Delivery ~15%, cab ~61% multi-app</t>
  </si>
  <si>
    <t>PAIGAM 2024 (84.5% single platform for delivery; 49.6% cab drivers on both Ola and Uber); IDinsight 10–12% ('likely underestimate')</t>
  </si>
  <si>
    <t>&lt;1 yr 30%; 1–2 yrs 35%; 2–4 yrs 25%; &gt;4 yrs 10%</t>
  </si>
  <si>
    <t>Avg ~13–14 months; 44% 0–2 yrs</t>
  </si>
  <si>
    <t>IDinsight 380.9 days avg tenure; NCAER 2022 avg 14.1 months; PAIGAM 44.6% 0–2 yrs, 44.1% 2–4 yrs</t>
  </si>
  <si>
    <t>Own paid 36%; own on EMI 33%; rented 25%; bicycle/none 6% (ride-hailing: 40/40/20/0); 15% EV users moved mostly to 'rented'</t>
  </si>
  <si>
    <t>73% own, 15% rent, 12% borrow; 41% of owners on interest-bearing loan</t>
  </si>
  <si>
    <t>IDinsight DERII 2025; PAIGAM 80.6% own / 14.4% rent; Shriram Finance 2025 two-wheeler EMI ≈ ₹3,300 on ₹1 lakh</t>
  </si>
  <si>
    <t>hours_per_day, active_days_week</t>
  </si>
  <si>
    <t>Hours: &lt;4 5%, 4–8 25%, 8–12 55%, &gt;12 15%. Days: 7 40%, 6 35%, 5 12%, 4 8%, 3 5%</t>
  </si>
  <si>
    <t>Hub-recruited samples skew full-time</t>
  </si>
  <si>
    <t>PAIGAM 2024: 55% work 10–12 h, 48% no weekly day off; Primus 2025: 42.7% work 7 days; IDinsight: 23% full-time (8+ h) in platform-sampled population</t>
  </si>
  <si>
    <t>weekly_earn_band (gross)</t>
  </si>
  <si>
    <t>Hourly rate by segment (food ₹82, QC ₹86, parcel ₹75, ride ₹95) × lognormal noise (σ 0.30) × tenure uplift ≤6%, × hours × days; capped ₹900–11,500/week</t>
  </si>
  <si>
    <t>Monthly gross median ≈ ₹19k; P25 ≈ 12.5k; P75 ≈ 26k; ~37% &lt; ₹15k; ~23% &gt; ₹25k</t>
  </si>
  <si>
    <t>IDinsight: full-time gross ₹27,814, all-driver mean ₹15,459, ₹170/hr gross; Zomato factsheet Jan 2026 ₹102/hr, ₹26,500 illustrative; Economic Survey 2025-26: 40% earn &lt; ₹15,000; Borzo 2024: 77.6% &lt; ₹2.5 lakh p.a.; Primus 2025 avg ₹22,500</t>
  </si>
  <si>
    <t>best_week_band, worst_week_band</t>
  </si>
  <si>
    <t>Best = typical × U(1.25, 1.65); worst = typical ÷ U(1.3, 2.0)</t>
  </si>
  <si>
    <t>Best/worst ≈ 1.6–2.0×</t>
  </si>
  <si>
    <t>IDinsight: 22% of consistent drivers saw &gt;±20% week-to-week change in hourly earnings; Pune Warje Instamart case June 2024: weekly ₹8,000 → ~₹4,000 after incentive restructuring (HRKatha)</t>
  </si>
  <si>
    <t>Petrol: days × U(₹220–360) × hours/9; EV: days × U(₹45–90); bicycle ≤ ₹150; capped at 45% of gross</t>
  </si>
  <si>
    <t>Fuel ≈ 20–25% of gross; total vehicle cost ≈ 30%</t>
  </si>
  <si>
    <t>IDinsight: operating expenses ~32% of gross (fuel 23%, maintenance 5%); PAIGAM: 58% spend ₹201–400/day on fuel; Zomato: fuel ≈ ₹5,000/month</t>
  </si>
  <si>
    <t>70% tick 1–3 monsoon months (Jun–Sep); 25% add one Jan–May month; 8% none</t>
  </si>
  <si>
    <t>Judgement; monsoon reduces hours despite rain pay</t>
  </si>
  <si>
    <t>No quantified published effect; rain-surge pay of ₹10–20/order (PickMyWork 2026, low reliability); festive bonuses Sept–Nov (TeamLease 2025)</t>
  </si>
  <si>
    <t>Lower 54%, same 30%, higher 16%; extra 'Lower' weight for quick-commerce</t>
  </si>
  <si>
    <t>~60% report falling earnings</t>
  </si>
  <si>
    <t>Judgement anchored to NCAER 2022 (real wages −11% since 2019), Blinkit per-order cuts ₹50→₹25→₹15 (Tribune 2023), Dec 2025 nationwide strikes (Pune Pulse), Pune Warje case 2024</t>
  </si>
  <si>
    <t>digital_share, payout_frequency</t>
  </si>
  <si>
    <t>Delivery: &gt;75% digital 72%; ride-hailing lower (cash fares). Payout: food weekly 70%; QC weekly 55% / daily 35%; parcel weekly 75%; ride daily 55%</t>
  </si>
  <si>
    <t>Near-universal bank accounts; platform practice</t>
  </si>
  <si>
    <t>IDinsight 99–100% bank account; Swiggy weekly with Easy Cashout (Sep 2026); Zepto weekly; Blinkit weekly + daily 'pocket' (Storyboard18 2024)</t>
  </si>
  <si>
    <t>savings_buffer, buffer_weeks</t>
  </si>
  <si>
    <t>P(savings) = 0.22 + 0.25×(net monthly/30k) ± dependents adj. → ≈38%; buffer among savers: &lt;1 wk 30%, 1–2 wk 32%, 2–4 wk 23%, &gt;4 wk 15%</t>
  </si>
  <si>
    <t>~38% save; ~22% have ≥1 month</t>
  </si>
  <si>
    <t>IDinsight 39% save monthly; GigPulse 2022 25.6% save regularly; Flourish 2020 47% cannot cover one month without borrowing; Primus 2025 ~85% of unprotected workers no savings</t>
  </si>
  <si>
    <t>P(late) = 0.15 + 0.12 if earnings falling + 0.10 if no savings + 0.06 if ≥4 dependents; late split 75% 'sometimes' / 25% 'often'</t>
  </si>
  <si>
    <t>~30–35% late in last 3 months</t>
  </si>
  <si>
    <t>Judgement; IDinsight 18% struggle with rent/loan payments, 12% with utility bills, 35% struggle to meet basic expenses</t>
  </si>
  <si>
    <t>upi_daily_use, accounts_count</t>
  </si>
  <si>
    <t>UPI mostly 80%; accounts: 1 52% / 2 38% / 3+ 10% (more if multi-apping)</t>
  </si>
  <si>
    <t>High UPI penetration</t>
  </si>
  <si>
    <t>IDinsight 99–100% banked; CGAP–Sahamati 2025 &gt;25% used consent-based data sharing</t>
  </si>
  <si>
    <t>Other state: regular 50% / irregular 32% / none 18%; other district: 25/25/50; Pune: 8/12/80</t>
  </si>
  <si>
    <t>≈40% remit overall</t>
  </si>
  <si>
    <t>GigPulse 2022 median ₹3,000/month remitted; IDinsight migrants visit home ~2×/month</t>
  </si>
  <si>
    <t>No savings: most 38% / half 40% / little 22%; with savings: 15/40/45</t>
  </si>
  <si>
    <t>Hand-to-mouth pattern</t>
  </si>
  <si>
    <t>GigPulse 2022: 66% never manage finances; &gt;15% run a monthly deficit</t>
  </si>
  <si>
    <t>Has score: 58% if vehicle on EMI else 34% → ≈45% overall; rest split no-score 55% / don't know 45%</t>
  </si>
  <si>
    <t>≈50% new-to-credit</t>
  </si>
  <si>
    <t>Judgement; no bureau statistic for gig workers found. Context: Borzo 2024 66.5% never filed ITR; IDinsight 27% ever had bank loan, 19% digital loan</t>
  </si>
  <si>
    <t>applied_loan_2y, loan_outcome</t>
  </si>
  <si>
    <t>Applied 38%; rejected 30% if has score, 62% if not → ≈46% of applicants rejected</t>
  </si>
  <si>
    <t>35–40% apply; ~45% of applicants rejected</t>
  </si>
  <si>
    <t>Judgement between Primus 2025 ('70% denied', unsourced) and IDinsight (27% hold bank loans; 9% could not get formal vehicle loan)</t>
  </si>
  <si>
    <t>Rejected: no CIBIL 42%, no income proof 36%, interest 10%, other 12%. Did not apply: did not need 38%, fear of rejection 22%, no CIBIL 14%, no proof 12%, interest 8%, other 6%</t>
  </si>
  <si>
    <t>Thin file and income proof dominate</t>
  </si>
  <si>
    <t>Judgement; Borzo 2024 66.5% never filed ITR; GigPulse 51% wanted a credit card but never applied</t>
  </si>
  <si>
    <t>Vehicle EMI → NBFC 70% / Bank 30%; approved applicants → bank/NBFC/app; plus app 12%, family 20%, moneylender 12% (5% if savings), shopkeeper 5%, platform advance 5%; a repayment obligation exists only with an EMI or a moneylender loan</t>
  </si>
  <si>
    <t>≈50% owe something; family and informal common</t>
  </si>
  <si>
    <t>IDinsight emergency borrowing: moneylender 47%, friends/family 38%, bank 10%; GigPulse 26.3% borrow from co-workers; IDinsight 41% of vehicle owners on interest-bearing loan</t>
  </si>
  <si>
    <t>Vehicle EMI N(₹3,300, 600); app loan ₹800–2,500; other bank/NBFC ₹1,500–4,500; moneylender ₹500–2,000; rounded to ₹100</t>
  </si>
  <si>
    <t>Two-wheeler EMI ≈ ₹3,200–3,400</t>
  </si>
  <si>
    <t>Shriram Finance 2025 (₹1 lakh @12% / 3 yrs ≈ ₹3,300); IFAT 2020 cab EMIs ₹10–20k (not used; two-wheeler sample)</t>
  </si>
  <si>
    <t>missed_emi_12m, max_delay_days</t>
  </si>
  <si>
    <t>Among those with repayments: P(miss) = 0.12 + 0.35×obligation ratio + 0.12 if earnings falling + 0.10 if no savings + bill-lateness adj. → ≈30–35% of borrowers; delay: 1–15 d 38%, 16–30 d 32%, 31–60 d 20%, &gt;60 d 10%</t>
  </si>
  <si>
    <t>~1/3 of borrowers missed ≥1 payment</t>
  </si>
  <si>
    <t>IDinsight DERII 2025: ~one-third of vehicle-loan borrowers missed at least one payment; 50% skipped essentials to repay; Flourish 2020: 57% paused debt payments in COVID</t>
  </si>
  <si>
    <t>Vehicle repair 24%, illness 20%, fewer orders 18–30% (higher if earnings falling), deactivation 7%, festival 9%, remittance 2–6%, other 4%</t>
  </si>
  <si>
    <t>Vehicle and health shocks dominate emergencies</t>
  </si>
  <si>
    <t>IDinsight: 39% faced an emergency since joining, average need ₹61,456; PAIGAM: 47% pay own repairs</t>
  </si>
  <si>
    <t>contacted_before_miss, early_help_useful</t>
  </si>
  <si>
    <t>Contacted before miss: 22% yes; early help useful: yes 52%, maybe 30%, no 18%</t>
  </si>
  <si>
    <t>Judgement</t>
  </si>
  <si>
    <t>No published figure; consistent with lenders acting on days-past-due (RBI SMA framework) rather than pre-delinquency signals</t>
  </si>
  <si>
    <t>3–6% per month for moneylender borrowers</t>
  </si>
  <si>
    <t>3–5%/month typical informal urban rate</t>
  </si>
  <si>
    <t>Judgement; no gig-specific published rate</t>
  </si>
  <si>
    <t>share_platform, share_bank_upi, share_utility</t>
  </si>
  <si>
    <t>Likert drawn with P(4–5) = 0.68 / 0.56 / 0.62, +0.08 if recently rejected</t>
  </si>
  <si>
    <t>~70% willing to share for better loan offers; bank data lower</t>
  </si>
  <si>
    <t>CGAP–Sahamati 2025 (n=1,860 smartphone users): 71% willing to share financial data for better offers; 30% aware of Account Aggregator (adjusted down for this population)</t>
  </si>
  <si>
    <t>If any Likert 1–2: privacy 30%, misuse 32%, don't understand 22%, platform might find out 12%, other 4%</t>
  </si>
  <si>
    <t>CGAP–Sahamati 2025 qualitative themes; project interview design</t>
  </si>
  <si>
    <t>Derived columns</t>
  </si>
  <si>
    <t>Same definitions as the Data_Entry formulas in the field workbook (band midpoints ₹1,500 / 2,750 / 4,250 / 6,000 / 8,000 / 10,000; buffer weeks 0 / 0.5 / 1.5 / 3 / 5)</t>
  </si>
  <si>
    <t>—</t>
  </si>
  <si>
    <t>Project assumption (Lookups sheet of the field workbook)</t>
  </si>
  <si>
    <t>Full source list</t>
  </si>
  <si>
    <t>1. IDinsight (2025). Economic Lives of Digital Platform Gig Workers: Case of Delivery Drivers in India (DERII). Fieldwork Jan–May 2024, n=2,547 (Pune among top-5 cities). https://www.idinsight.org/wp-content/uploads/2025/02/DERII-India_-Descriptive-Study-Report.pdf</t>
  </si>
  <si>
    <t>2. Adhvaryu, A. et al. (2026). Platform Work: Evidence from Drivers in India, Indonesia, and Kenya. NBER Working Paper 34680. https://www.nber.org/papers/w34680</t>
  </si>
  <si>
    <t>3. PAIGAM / University of Pennsylvania with IFAT &amp; TGPWU (2024). Working and Living Conditions of App-based Workers in India (n=5,302 cab + 5,082 delivery; 8 cities). https://tgpwu.org/wp-content/uploads/2024/03/Report-Final-Print-1.pdf</t>
  </si>
  <si>
    <t>4. NCAER (2022). Socio-economic Impact Assessment of Food Delivery Platform Workers (n=924). Summary: https://factly.in/review-ncaer-study-finds-that-while-incomes-increased-by-only-4-expenditure-of-food-delivery-workers-increased-by-over-20-in-the-last-four-years</t>
  </si>
  <si>
    <t>5. Primus Partners (2025). Unlocking the Future: gig workers report (n≈1,500). https://primuspartners.in/docs/documents/Gig%20Workers%20Report_V6a.pdf</t>
  </si>
  <si>
    <t>6. Borzo (2024). Understanding the Financial Literacy of Gig Delivery Partners (n≈2,000). Coverage: https://www.business-standard.com/economy/news/over-77-of-gig-workers-earn-less-than-rs-2-5-lakh-annually-in-india-124080700980_1.html</t>
  </si>
  <si>
    <t>7. KarmaLife &amp; LEAD at Krea University (2022). GigPulse survey (n&gt;500). Coverage: https://www.businesstoday.in/industry/story/over-15-gig-workers-face-financial-deficit-of-rs-5000-on-average-report-339985-2022-07-01</t>
  </si>
  <si>
    <t>8. Flourish Ventures (2020). Digital Hustle: India Spotlight (n=770). https://flourishventures.com/wp-content/uploads/2022/10/FV-Digital-Hustle-India-Spotlight.pdf</t>
  </si>
  <si>
    <t>9. CGAP &amp; Sahamati (2025). Open finance gains traction in India (n=1,860 smartphone users, 2024). https://www.cgap.org/news/open-finance-gains-traction-in-india-finds-cgap-and-sahamati</t>
  </si>
  <si>
    <t>10. Government of India (2026). Economic Survey 2025-26 — gig workforce 12 million; ~40% earn under ₹15,000. Coverage: https://www.businesstoday.in/union-budget/story/india-has-12-million-gig-workers-2-of-total-workforce-economic-survey-513429-2026-01-29</t>
  </si>
  <si>
    <t>11. NITI Aayog (2022). India's Booming Gig and Platform Economy. https://www.niti.gov.in/sites/default/files/2022-06/Policy_Brief_India's_Booming_Gig_and_Platform_Economy_27062022.pdf</t>
  </si>
  <si>
    <t>12. Fairwork (2024). Fairwork India Ratings 2024. https://citapp.iiitb.ac.in/wp-content/uploads/2024/10/Fairwork-India-2024-Report.pdf</t>
  </si>
  <si>
    <t>13. HRKatha (June 2024). Strikes by gig workers in Pune (Swiggy Instamart, Warje) and Bengaluru. https://www.hrkatha.com/protests-and-strikes/strikes-by-gig-workers-in-pune-and-bengaluru-india/</t>
  </si>
  <si>
    <t>14. Inc42 (Oct 2023). Gig workers take to streets in Mumbai, Pune — union estimate ~1.45 lakh gig workers in Pune/PCMC. https://inc42.com/buzz/gig-workers-take-to-streets-in-mumbai-pune-demand-better-wages-labour-laws/</t>
  </si>
  <si>
    <t>15. NewsOnAir (Aug 2025). Maharashtra govt social-security framework for &gt;5 lakh gig workers. https://www.newsonair.gov.in/maharashtra-govt-to-introduce-social-security-framework-for-over-5-lakh-gig-workers-across-more-than-320-platforms</t>
  </si>
  <si>
    <t>16. Business Today (Jan 2026). TGPWA counters Deepinder Goyal's claim on delivery partner pay (Zomato ₹102/hr factsheet). https://www.businesstoday.in/india/story/no-social-security-no-paid-insurance-tgpwa-counters-deepinder-goyals-claim-on-delivery-partner-pay-509258-2026-01-03</t>
  </si>
  <si>
    <t>17. The Tribune (2023). Blinkit delivery partners strike over per-order cuts. https://www.tribuneindia.com/news/haryana/blinkit-delivery-partners-strike-on-dark-stores-shut-498125</t>
  </si>
  <si>
    <t>18. Shriram Finance (2025). Delivery partner bike loans — EMI illustration. https://www.shriramfinance.in/articles/two-wheeler-loan/2025/delivery-partner-bike-loans-options</t>
  </si>
  <si>
    <t>19. Redseer (2026). India Gig Workers 2026. https://redseer.com/digests/india-gig-workers-2026-market-growth-insights/</t>
  </si>
  <si>
    <t>20. Restaurant India (Sep 2026). Swiggy introduces Easy Cashout for delivery partners. https://www.restaurantindia.in/news/swiggy-introduces-early-cashout-for-food-delivery-partners-ending-weekly-payout-wait.n17262</t>
  </si>
  <si>
    <t>Calibration check — simulated distribution vs published target (formulas over Simulated_Data)</t>
  </si>
  <si>
    <t>These numbers describe the SIMULATION. They are not survey results.</t>
  </si>
  <si>
    <t>Check</t>
  </si>
  <si>
    <t>Simulated value</t>
  </si>
  <si>
    <t>Target / published</t>
  </si>
  <si>
    <t>Source (short)</t>
  </si>
  <si>
    <t>Rows</t>
  </si>
  <si>
    <t>120</t>
  </si>
  <si>
    <t>Field plan</t>
  </si>
  <si>
    <t>Share male</t>
  </si>
  <si>
    <t>≈95%</t>
  </si>
  <si>
    <t>IDinsight &lt;1% women; Primus 3.7%</t>
  </si>
  <si>
    <t>Share migrants (other district + other state)</t>
  </si>
  <si>
    <t>≈51%</t>
  </si>
  <si>
    <t>IDinsight / NBER w34680</t>
  </si>
  <si>
    <t>Median monthly gross (₹, generator value)</t>
  </si>
  <si>
    <t>≈19,000</t>
  </si>
  <si>
    <t>IDinsight; Zomato factsheet; Econ Survey</t>
  </si>
  <si>
    <t>Share monthly gross &lt; ₹15,000</t>
  </si>
  <si>
    <t>≈37–40%</t>
  </si>
  <si>
    <t>Economic Survey 2025-26</t>
  </si>
  <si>
    <t>Share monthly gross &gt; ₹25,000</t>
  </si>
  <si>
    <t>≈20–25%</t>
  </si>
  <si>
    <t>Borzo 2024; Primus 2025</t>
  </si>
  <si>
    <t>Average fuel share of gross</t>
  </si>
  <si>
    <t>≈22–30%</t>
  </si>
  <si>
    <t>IDinsight 23% fuel, 32% all costs</t>
  </si>
  <si>
    <t>Share working 7 days</t>
  </si>
  <si>
    <t>≈40%</t>
  </si>
  <si>
    <t>Primus 42.7%</t>
  </si>
  <si>
    <t>Share working 8+ hours</t>
  </si>
  <si>
    <t>≈70% (hub-recruited)</t>
  </si>
  <si>
    <t>PAIGAM 55% 10–12 h</t>
  </si>
  <si>
    <t>Share with savings buffer</t>
  </si>
  <si>
    <t>≈38%</t>
  </si>
  <si>
    <t>IDinsight 39%</t>
  </si>
  <si>
    <t>Share earnings lower vs 3 months ago</t>
  </si>
  <si>
    <t>≈60% (judgement)</t>
  </si>
  <si>
    <t>NCAER; strikes; Pune Warje</t>
  </si>
  <si>
    <t>Share vehicle on EMI</t>
  </si>
  <si>
    <t>≈33%</t>
  </si>
  <si>
    <t>IDinsight 41% of owners</t>
  </si>
  <si>
    <t>Share with any repayment obligation</t>
  </si>
  <si>
    <t>≈50%</t>
  </si>
  <si>
    <t>IDinsight loan holdings</t>
  </si>
  <si>
    <t>Share of borrowers who missed an EMI</t>
  </si>
  <si>
    <t>≈30–35%</t>
  </si>
  <si>
    <t>IDinsight ~1/3</t>
  </si>
  <si>
    <t>Share credit-invisible (no score / don't know)</t>
  </si>
  <si>
    <t>Share applied for loan (2 yrs)</t>
  </si>
  <si>
    <t>Rejection rate among applicants</t>
  </si>
  <si>
    <t>≈45%</t>
  </si>
  <si>
    <t>Judgement (Primus vs IDinsight)</t>
  </si>
  <si>
    <t>Share willing (4–5) to share platform earnings</t>
  </si>
  <si>
    <t>≈70%</t>
  </si>
  <si>
    <t>CGAP–Sahamati 2025: 71%</t>
  </si>
  <si>
    <t>Share willing (4–5) to share bank/UPI</t>
  </si>
  <si>
    <t>≈55–60%</t>
  </si>
  <si>
    <t>CGAP–Sahamati, adjusted</t>
  </si>
  <si>
    <t>Share remitting home (regular + irregular)</t>
  </si>
  <si>
    <t>GigPulse 2022</t>
  </si>
  <si>
    <t>Share bills sometimes/often late</t>
  </si>
  <si>
    <t>Judgement; IDinsight 18%/12%</t>
  </si>
  <si>
    <t>Missed-EMI rate: no savings vs savings</t>
  </si>
  <si>
    <t>Higher without savings (built into generator)</t>
  </si>
  <si>
    <t>Design logic, Section 8.2 of blueprint</t>
  </si>
  <si>
    <t>Generation log</t>
  </si>
  <si>
    <t>Generator</t>
  </si>
  <si>
    <t>simulate_survey.py (Python 3, random module only; delivered alongside this file)</t>
  </si>
  <si>
    <t>Random seed</t>
  </si>
  <si>
    <t>20261011</t>
  </si>
  <si>
    <t>Date generated</t>
  </si>
  <si>
    <t>11 October 2026</t>
  </si>
  <si>
    <t>Variables</t>
  </si>
  <si>
    <t>52 questionnaire variables + 16 derived + 2 generator internals (_weekly_gross, _monthly_gross)</t>
  </si>
  <si>
    <t>Internal consistency enforced</t>
  </si>
  <si>
    <t>worst ≤ typical ≤ best week; fuel ≤ 45% of gross; EMI only with a loan source; missed-EMI fields only when a repayment exists; delay/cause/contact fields 'Not applicable' otherwise; rejection reason consistent with outcome; buffer weeks consistent with savings flag; remittance tied to origin; moneylender rate only for moneylender borrowers; refusal reason only when any Likert ≤ 2</t>
  </si>
  <si>
    <t>Built-in relationships (so the pipeline has signal to find)</t>
  </si>
  <si>
    <t>P(missed EMI) rises with EMI-to-income ratio, falling earnings, no savings buffer and late bills; P(savings) rises with net income; P(has CIBIL score) higher for vehicle-on-EMI; rejection more likely without a score; quick-commerce riders more often report falling earnings; multi-apping highest for ride-hailing</t>
  </si>
  <si>
    <t>What this file cannot do</t>
  </si>
  <si>
    <t>Estimate anything about real Pune gig workers. All statistics computed from it describe the simulation.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</si>
</sst>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 x14ac:knownFonts="1">
    <font>
      <sz val="11"/>
      <color theme="1"/>
      <name val="Calibri"/>
      <family val="2"/>
      <charset val="1"/>
    </font>
    <font>
      <b/>
      <sz val="16"/>
      <color rgb="FFC00000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3"/>
      <color rgb="FF1F3A5F"/>
      <name val="Arial"/>
      <charset val="1"/>
    </font>
    <font>
      <i/>
      <sz val="9"/>
      <color rgb="FF5F6B7A"/>
      <name val="Arial"/>
      <charset val="1"/>
    </font>
    <font>
      <b/>
      <sz val="11"/>
      <color rgb="FF1F3A5F"/>
      <name val="Arial"/>
      <charset val="1"/>
    </font>
    <font>
      <i/>
      <sz val="9"/>
      <color rgb="FFC00000"/>
      <name val="Arial"/>
      <charset val="1"/>
    </font>
    <font>
      <b/>
      <sz val="10"/>
      <color rgb="FF1F3A5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9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zoomScaleNormal="100" workbookViewId="0"/>
  </sheetViews>
  <sheetFormatPr defaultColWidth="8.6640625" defaultRowHeight="14.4" x14ac:dyDescent="0.3"/>
  <cols>
    <col min="1" max="1" width="130" customWidth="1"/>
  </cols>
  <sheetData>
    <row r="1" spans="1:1" ht="21" x14ac:dyDescent="0.4">
      <c r="A1" s="2" t="s">
        <v>0</v>
      </c>
    </row>
    <row r="3" spans="1:1" ht="48" customHeight="1" x14ac:dyDescent="0.3">
      <c r="A3" s="3" t="s">
        <v>1</v>
      </c>
    </row>
    <row r="4" spans="1:1" ht="48" customHeight="1" x14ac:dyDescent="0.3">
      <c r="A4" s="3" t="s">
        <v>2</v>
      </c>
    </row>
    <row r="5" spans="1:1" ht="48" customHeight="1" x14ac:dyDescent="0.3">
      <c r="A5" s="3" t="s">
        <v>3</v>
      </c>
    </row>
    <row r="6" spans="1:1" ht="48" customHeight="1" x14ac:dyDescent="0.3">
      <c r="A6" s="3" t="s">
        <v>4</v>
      </c>
    </row>
    <row r="7" spans="1:1" ht="48" customHeight="1" x14ac:dyDescent="0.3">
      <c r="A7" s="3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P121"/>
  <sheetViews>
    <sheetView zoomScaleNormal="100" workbookViewId="0">
      <pane xSplit="1" ySplit="1" topLeftCell="V19" activePane="bottomRight" state="frozen"/>
      <selection pane="topRight" activeCell="C1" sqref="C1"/>
      <selection pane="bottomLeft" activeCell="A2" sqref="A2"/>
      <selection pane="bottomRight" activeCell="F9" sqref="F9"/>
    </sheetView>
  </sheetViews>
  <sheetFormatPr defaultColWidth="8.6640625" defaultRowHeight="14.4" x14ac:dyDescent="0.3"/>
  <cols>
    <col min="1" max="2" width="14" customWidth="1"/>
    <col min="3" max="4" width="26" customWidth="1"/>
    <col min="5" max="12" width="14" customWidth="1"/>
    <col min="13" max="13" width="26" customWidth="1"/>
    <col min="14" max="22" width="14" customWidth="1"/>
    <col min="23" max="23" width="26" customWidth="1"/>
    <col min="24" max="37" width="14" customWidth="1"/>
    <col min="38" max="38" width="26" customWidth="1"/>
    <col min="39" max="49" width="14" customWidth="1"/>
    <col min="50" max="50" width="26" customWidth="1"/>
    <col min="51" max="68" width="14" customWidth="1"/>
  </cols>
  <sheetData>
    <row r="1" spans="1:68" ht="31.5" customHeight="1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39</v>
      </c>
      <c r="AI1" s="4" t="s">
        <v>40</v>
      </c>
      <c r="AJ1" s="4" t="s">
        <v>41</v>
      </c>
      <c r="AK1" s="4" t="s">
        <v>42</v>
      </c>
      <c r="AL1" s="4" t="s">
        <v>43</v>
      </c>
      <c r="AM1" s="4" t="s">
        <v>44</v>
      </c>
      <c r="AN1" s="4" t="s">
        <v>45</v>
      </c>
      <c r="AO1" s="4" t="s">
        <v>46</v>
      </c>
      <c r="AP1" s="4" t="s">
        <v>47</v>
      </c>
      <c r="AQ1" s="4" t="s">
        <v>48</v>
      </c>
      <c r="AR1" s="4" t="s">
        <v>49</v>
      </c>
      <c r="AS1" s="4" t="s">
        <v>50</v>
      </c>
      <c r="AT1" s="4" t="s">
        <v>51</v>
      </c>
      <c r="AU1" s="4" t="s">
        <v>52</v>
      </c>
      <c r="AV1" s="4" t="s">
        <v>53</v>
      </c>
      <c r="AW1" s="4" t="s">
        <v>54</v>
      </c>
      <c r="AX1" s="4" t="s">
        <v>55</v>
      </c>
      <c r="AY1" s="4" t="s">
        <v>56</v>
      </c>
      <c r="AZ1" s="4" t="s">
        <v>57</v>
      </c>
      <c r="BA1" s="4" t="s">
        <v>58</v>
      </c>
      <c r="BB1" s="4" t="s">
        <v>59</v>
      </c>
      <c r="BC1" s="4" t="s">
        <v>60</v>
      </c>
      <c r="BD1" s="4" t="s">
        <v>61</v>
      </c>
      <c r="BE1" s="4" t="s">
        <v>62</v>
      </c>
      <c r="BF1" s="4" t="s">
        <v>63</v>
      </c>
      <c r="BG1" s="4" t="s">
        <v>64</v>
      </c>
      <c r="BH1" s="4" t="s">
        <v>65</v>
      </c>
      <c r="BI1" s="4" t="s">
        <v>66</v>
      </c>
      <c r="BJ1" s="4" t="s">
        <v>67</v>
      </c>
      <c r="BK1" s="4" t="s">
        <v>68</v>
      </c>
      <c r="BL1" s="4" t="s">
        <v>69</v>
      </c>
      <c r="BM1" s="4" t="s">
        <v>70</v>
      </c>
      <c r="BN1" s="4" t="s">
        <v>71</v>
      </c>
      <c r="BO1" s="4" t="s">
        <v>72</v>
      </c>
      <c r="BP1" s="4" t="s">
        <v>73</v>
      </c>
    </row>
    <row r="2" spans="1:68" x14ac:dyDescent="0.3">
      <c r="A2" s="5" t="s">
        <v>74</v>
      </c>
      <c r="B2" s="6">
        <v>46308</v>
      </c>
      <c r="C2" s="5" t="s">
        <v>75</v>
      </c>
      <c r="D2" s="5" t="s">
        <v>76</v>
      </c>
      <c r="E2" s="5" t="s">
        <v>77</v>
      </c>
      <c r="F2" s="5" t="s">
        <v>78</v>
      </c>
      <c r="G2" s="5">
        <v>9</v>
      </c>
      <c r="H2" s="5" t="s">
        <v>79</v>
      </c>
      <c r="I2" s="5" t="s">
        <v>80</v>
      </c>
      <c r="J2" s="5" t="s">
        <v>81</v>
      </c>
      <c r="K2" s="5" t="s">
        <v>82</v>
      </c>
      <c r="L2" s="5">
        <v>5</v>
      </c>
      <c r="M2" s="5" t="s">
        <v>83</v>
      </c>
      <c r="N2" s="5" t="s">
        <v>84</v>
      </c>
      <c r="O2" s="5">
        <v>2</v>
      </c>
      <c r="P2" s="5" t="s">
        <v>85</v>
      </c>
      <c r="Q2" s="5">
        <v>7</v>
      </c>
      <c r="R2" s="5">
        <v>8</v>
      </c>
      <c r="S2" s="5" t="s">
        <v>86</v>
      </c>
      <c r="T2" s="5" t="s">
        <v>87</v>
      </c>
      <c r="U2" s="5" t="s">
        <v>88</v>
      </c>
      <c r="V2" s="5">
        <v>2010</v>
      </c>
      <c r="W2" s="5"/>
      <c r="X2" s="5" t="s">
        <v>89</v>
      </c>
      <c r="Y2" s="5" t="s">
        <v>90</v>
      </c>
      <c r="Z2" s="5" t="s">
        <v>91</v>
      </c>
      <c r="AA2" s="5" t="s">
        <v>92</v>
      </c>
      <c r="AB2" s="5" t="s">
        <v>93</v>
      </c>
      <c r="AC2" s="5" t="s">
        <v>94</v>
      </c>
      <c r="AD2" s="5" t="s">
        <v>95</v>
      </c>
      <c r="AE2" s="5" t="s">
        <v>84</v>
      </c>
      <c r="AF2" s="5" t="s">
        <v>92</v>
      </c>
      <c r="AG2" s="5" t="s">
        <v>96</v>
      </c>
      <c r="AH2" s="5" t="s">
        <v>97</v>
      </c>
      <c r="AI2" s="5" t="s">
        <v>92</v>
      </c>
      <c r="AJ2" s="5" t="s">
        <v>98</v>
      </c>
      <c r="AK2" s="5" t="s">
        <v>99</v>
      </c>
      <c r="AL2" s="5" t="s">
        <v>100</v>
      </c>
      <c r="AM2" s="5">
        <v>2800</v>
      </c>
      <c r="AN2" s="5" t="s">
        <v>92</v>
      </c>
      <c r="AO2" s="5" t="s">
        <v>101</v>
      </c>
      <c r="AP2" s="5" t="s">
        <v>101</v>
      </c>
      <c r="AQ2" s="5" t="s">
        <v>101</v>
      </c>
      <c r="AR2" s="5" t="s">
        <v>101</v>
      </c>
      <c r="AS2" s="5"/>
      <c r="AT2" s="5" t="s">
        <v>102</v>
      </c>
      <c r="AU2" s="5" t="s">
        <v>103</v>
      </c>
      <c r="AV2" s="5" t="s">
        <v>104</v>
      </c>
      <c r="AW2" s="5" t="s">
        <v>105</v>
      </c>
      <c r="AX2" s="5" t="s">
        <v>106</v>
      </c>
      <c r="AY2" s="5">
        <v>6000</v>
      </c>
      <c r="AZ2" s="5">
        <v>8000</v>
      </c>
      <c r="BA2" s="5">
        <v>2750</v>
      </c>
      <c r="BB2" s="5">
        <v>3990</v>
      </c>
      <c r="BC2" s="5">
        <v>0.33500000000000002</v>
      </c>
      <c r="BD2" s="5">
        <v>0.875</v>
      </c>
      <c r="BE2" s="5">
        <v>1</v>
      </c>
      <c r="BF2" s="5">
        <v>17277</v>
      </c>
      <c r="BG2" s="5">
        <v>0.16200000000000001</v>
      </c>
      <c r="BH2" s="5">
        <v>0</v>
      </c>
      <c r="BI2" s="5">
        <v>0</v>
      </c>
      <c r="BJ2" s="5">
        <v>1</v>
      </c>
      <c r="BK2" s="5">
        <v>0</v>
      </c>
      <c r="BL2" s="5" t="s">
        <v>107</v>
      </c>
      <c r="BM2" s="5">
        <v>0</v>
      </c>
      <c r="BN2" s="5">
        <v>3.67</v>
      </c>
      <c r="BO2" s="5">
        <v>5120</v>
      </c>
      <c r="BP2" s="5">
        <v>22000</v>
      </c>
    </row>
    <row r="3" spans="1:68" x14ac:dyDescent="0.3">
      <c r="A3" s="5" t="s">
        <v>108</v>
      </c>
      <c r="B3" s="6">
        <v>46316</v>
      </c>
      <c r="C3" s="5" t="s">
        <v>75</v>
      </c>
      <c r="D3" s="5" t="s">
        <v>109</v>
      </c>
      <c r="E3" s="5" t="s">
        <v>77</v>
      </c>
      <c r="F3" s="5" t="s">
        <v>78</v>
      </c>
      <c r="G3" s="5">
        <v>11</v>
      </c>
      <c r="H3" s="5" t="s">
        <v>110</v>
      </c>
      <c r="I3" s="5" t="s">
        <v>80</v>
      </c>
      <c r="J3" s="5" t="s">
        <v>81</v>
      </c>
      <c r="K3" s="5" t="s">
        <v>111</v>
      </c>
      <c r="L3" s="5">
        <v>1</v>
      </c>
      <c r="M3" s="5" t="s">
        <v>112</v>
      </c>
      <c r="N3" s="5" t="s">
        <v>84</v>
      </c>
      <c r="O3" s="5">
        <v>11</v>
      </c>
      <c r="P3" s="5" t="s">
        <v>113</v>
      </c>
      <c r="Q3" s="5">
        <v>7</v>
      </c>
      <c r="R3" s="5">
        <v>11</v>
      </c>
      <c r="S3" s="5" t="s">
        <v>87</v>
      </c>
      <c r="T3" s="5" t="s">
        <v>114</v>
      </c>
      <c r="U3" s="5" t="s">
        <v>86</v>
      </c>
      <c r="V3" s="5">
        <v>2360</v>
      </c>
      <c r="W3" s="5" t="s">
        <v>115</v>
      </c>
      <c r="X3" s="5" t="s">
        <v>116</v>
      </c>
      <c r="Y3" s="5" t="s">
        <v>117</v>
      </c>
      <c r="Z3" s="5" t="s">
        <v>91</v>
      </c>
      <c r="AA3" s="5" t="s">
        <v>92</v>
      </c>
      <c r="AB3" s="5" t="s">
        <v>93</v>
      </c>
      <c r="AC3" s="5" t="s">
        <v>118</v>
      </c>
      <c r="AD3" s="5" t="s">
        <v>119</v>
      </c>
      <c r="AE3" s="5" t="s">
        <v>84</v>
      </c>
      <c r="AF3" s="5" t="s">
        <v>92</v>
      </c>
      <c r="AG3" s="5" t="s">
        <v>96</v>
      </c>
      <c r="AH3" s="5" t="s">
        <v>120</v>
      </c>
      <c r="AI3" s="5" t="s">
        <v>92</v>
      </c>
      <c r="AJ3" s="5" t="s">
        <v>98</v>
      </c>
      <c r="AK3" s="5" t="s">
        <v>121</v>
      </c>
      <c r="AL3" s="5" t="s">
        <v>107</v>
      </c>
      <c r="AM3" s="5">
        <v>0</v>
      </c>
      <c r="AN3" s="5" t="s">
        <v>122</v>
      </c>
      <c r="AO3" s="5" t="s">
        <v>101</v>
      </c>
      <c r="AP3" s="5" t="s">
        <v>101</v>
      </c>
      <c r="AQ3" s="5" t="s">
        <v>101</v>
      </c>
      <c r="AR3" s="5" t="s">
        <v>101</v>
      </c>
      <c r="AS3" s="5"/>
      <c r="AT3" s="5" t="s">
        <v>103</v>
      </c>
      <c r="AU3" s="5" t="s">
        <v>103</v>
      </c>
      <c r="AV3" s="5" t="s">
        <v>103</v>
      </c>
      <c r="AW3" s="5" t="s">
        <v>101</v>
      </c>
      <c r="AX3" s="5" t="s">
        <v>106</v>
      </c>
      <c r="AY3" s="5">
        <v>8000</v>
      </c>
      <c r="AZ3" s="5">
        <v>10000</v>
      </c>
      <c r="BA3" s="5">
        <v>6000</v>
      </c>
      <c r="BB3" s="5">
        <v>5640</v>
      </c>
      <c r="BC3" s="5">
        <v>0.29499999999999998</v>
      </c>
      <c r="BD3" s="5">
        <v>0.5</v>
      </c>
      <c r="BE3" s="5">
        <v>1</v>
      </c>
      <c r="BF3" s="5">
        <v>24421</v>
      </c>
      <c r="BG3" s="5">
        <v>0</v>
      </c>
      <c r="BH3" s="5">
        <v>0</v>
      </c>
      <c r="BI3" s="5">
        <v>3</v>
      </c>
      <c r="BJ3" s="5">
        <v>0</v>
      </c>
      <c r="BK3" s="5">
        <v>0</v>
      </c>
      <c r="BL3" s="5" t="s">
        <v>107</v>
      </c>
      <c r="BM3" s="5">
        <v>1</v>
      </c>
      <c r="BN3" s="5">
        <v>5</v>
      </c>
      <c r="BO3" s="5">
        <v>7500</v>
      </c>
      <c r="BP3" s="5">
        <v>32300</v>
      </c>
    </row>
    <row r="4" spans="1:68" x14ac:dyDescent="0.3">
      <c r="A4" s="5" t="s">
        <v>123</v>
      </c>
      <c r="B4" s="6">
        <v>46308</v>
      </c>
      <c r="C4" s="5" t="s">
        <v>75</v>
      </c>
      <c r="D4" s="5" t="s">
        <v>124</v>
      </c>
      <c r="E4" s="5" t="s">
        <v>77</v>
      </c>
      <c r="F4" s="5" t="s">
        <v>78</v>
      </c>
      <c r="G4" s="5">
        <v>9</v>
      </c>
      <c r="H4" s="5" t="s">
        <v>110</v>
      </c>
      <c r="I4" s="5" t="s">
        <v>125</v>
      </c>
      <c r="J4" s="5" t="s">
        <v>126</v>
      </c>
      <c r="K4" s="5" t="s">
        <v>127</v>
      </c>
      <c r="L4" s="5">
        <v>3</v>
      </c>
      <c r="M4" s="5" t="s">
        <v>128</v>
      </c>
      <c r="N4" s="5" t="s">
        <v>84</v>
      </c>
      <c r="O4" s="5">
        <v>96</v>
      </c>
      <c r="P4" s="5" t="s">
        <v>113</v>
      </c>
      <c r="Q4" s="5">
        <v>4</v>
      </c>
      <c r="R4" s="5">
        <v>5</v>
      </c>
      <c r="S4" s="5" t="s">
        <v>129</v>
      </c>
      <c r="T4" s="5" t="s">
        <v>88</v>
      </c>
      <c r="U4" s="5" t="s">
        <v>129</v>
      </c>
      <c r="V4" s="5">
        <v>770</v>
      </c>
      <c r="W4" s="5"/>
      <c r="X4" s="5" t="s">
        <v>116</v>
      </c>
      <c r="Y4" s="5" t="s">
        <v>90</v>
      </c>
      <c r="Z4" s="5" t="s">
        <v>91</v>
      </c>
      <c r="AA4" s="5" t="s">
        <v>92</v>
      </c>
      <c r="AB4" s="5" t="s">
        <v>93</v>
      </c>
      <c r="AC4" s="5" t="s">
        <v>94</v>
      </c>
      <c r="AD4" s="5" t="s">
        <v>130</v>
      </c>
      <c r="AE4" s="5" t="s">
        <v>131</v>
      </c>
      <c r="AF4" s="5" t="s">
        <v>132</v>
      </c>
      <c r="AG4" s="5" t="s">
        <v>133</v>
      </c>
      <c r="AH4" s="5" t="s">
        <v>97</v>
      </c>
      <c r="AI4" s="5" t="s">
        <v>92</v>
      </c>
      <c r="AJ4" s="5" t="s">
        <v>98</v>
      </c>
      <c r="AK4" s="5" t="s">
        <v>134</v>
      </c>
      <c r="AL4" s="5" t="s">
        <v>107</v>
      </c>
      <c r="AM4" s="5">
        <v>0</v>
      </c>
      <c r="AN4" s="5" t="s">
        <v>122</v>
      </c>
      <c r="AO4" s="5" t="s">
        <v>101</v>
      </c>
      <c r="AP4" s="5" t="s">
        <v>101</v>
      </c>
      <c r="AQ4" s="5" t="s">
        <v>101</v>
      </c>
      <c r="AR4" s="5" t="s">
        <v>101</v>
      </c>
      <c r="AS4" s="5"/>
      <c r="AT4" s="5" t="s">
        <v>103</v>
      </c>
      <c r="AU4" s="5" t="s">
        <v>102</v>
      </c>
      <c r="AV4" s="5" t="s">
        <v>104</v>
      </c>
      <c r="AW4" s="5" t="s">
        <v>135</v>
      </c>
      <c r="AX4" s="5" t="s">
        <v>106</v>
      </c>
      <c r="AY4" s="5">
        <v>1500</v>
      </c>
      <c r="AZ4" s="5">
        <v>2750</v>
      </c>
      <c r="BA4" s="5">
        <v>1500</v>
      </c>
      <c r="BB4" s="5">
        <v>730</v>
      </c>
      <c r="BC4" s="5">
        <v>0.51300000000000001</v>
      </c>
      <c r="BD4" s="5">
        <v>0.83299999999999996</v>
      </c>
      <c r="BE4" s="5">
        <v>0.57099999999999995</v>
      </c>
      <c r="BF4" s="5">
        <v>3161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 t="s">
        <v>107</v>
      </c>
      <c r="BM4" s="5">
        <v>0</v>
      </c>
      <c r="BN4" s="5">
        <v>3.67</v>
      </c>
      <c r="BO4" s="5">
        <v>1710</v>
      </c>
      <c r="BP4" s="5">
        <v>7400</v>
      </c>
    </row>
    <row r="5" spans="1:68" x14ac:dyDescent="0.3">
      <c r="A5" s="5" t="s">
        <v>136</v>
      </c>
      <c r="B5" s="6">
        <v>46308</v>
      </c>
      <c r="C5" s="5" t="s">
        <v>75</v>
      </c>
      <c r="D5" s="5" t="s">
        <v>137</v>
      </c>
      <c r="E5" s="5" t="s">
        <v>138</v>
      </c>
      <c r="F5" s="5" t="s">
        <v>78</v>
      </c>
      <c r="G5" s="5">
        <v>7</v>
      </c>
      <c r="H5" s="5" t="s">
        <v>79</v>
      </c>
      <c r="I5" s="5" t="s">
        <v>80</v>
      </c>
      <c r="J5" s="5" t="s">
        <v>126</v>
      </c>
      <c r="K5" s="5" t="s">
        <v>127</v>
      </c>
      <c r="L5" s="5">
        <v>3</v>
      </c>
      <c r="M5" s="5" t="s">
        <v>139</v>
      </c>
      <c r="N5" s="5" t="s">
        <v>84</v>
      </c>
      <c r="O5" s="5">
        <v>2</v>
      </c>
      <c r="P5" s="5" t="s">
        <v>113</v>
      </c>
      <c r="Q5" s="5">
        <v>6</v>
      </c>
      <c r="R5" s="5">
        <v>10</v>
      </c>
      <c r="S5" s="5" t="s">
        <v>88</v>
      </c>
      <c r="T5" s="5" t="s">
        <v>140</v>
      </c>
      <c r="U5" s="5" t="s">
        <v>129</v>
      </c>
      <c r="V5" s="5">
        <v>1150</v>
      </c>
      <c r="W5" s="5" t="s">
        <v>141</v>
      </c>
      <c r="X5" s="5" t="s">
        <v>142</v>
      </c>
      <c r="Y5" s="5" t="s">
        <v>90</v>
      </c>
      <c r="Z5" s="5" t="s">
        <v>143</v>
      </c>
      <c r="AA5" s="5" t="s">
        <v>92</v>
      </c>
      <c r="AB5" s="5" t="s">
        <v>93</v>
      </c>
      <c r="AC5" s="5" t="s">
        <v>94</v>
      </c>
      <c r="AD5" s="5" t="s">
        <v>95</v>
      </c>
      <c r="AE5" s="5" t="s">
        <v>84</v>
      </c>
      <c r="AF5" s="5" t="s">
        <v>144</v>
      </c>
      <c r="AG5" s="5" t="s">
        <v>96</v>
      </c>
      <c r="AH5" s="5" t="s">
        <v>97</v>
      </c>
      <c r="AI5" s="5" t="s">
        <v>92</v>
      </c>
      <c r="AJ5" s="5" t="s">
        <v>98</v>
      </c>
      <c r="AK5" s="5" t="s">
        <v>145</v>
      </c>
      <c r="AL5" s="5" t="s">
        <v>146</v>
      </c>
      <c r="AM5" s="5">
        <v>0</v>
      </c>
      <c r="AN5" s="5" t="s">
        <v>122</v>
      </c>
      <c r="AO5" s="5" t="s">
        <v>101</v>
      </c>
      <c r="AP5" s="5" t="s">
        <v>101</v>
      </c>
      <c r="AQ5" s="5" t="s">
        <v>101</v>
      </c>
      <c r="AR5" s="5" t="s">
        <v>101</v>
      </c>
      <c r="AS5" s="5"/>
      <c r="AT5" s="5" t="s">
        <v>104</v>
      </c>
      <c r="AU5" s="5" t="s">
        <v>104</v>
      </c>
      <c r="AV5" s="5" t="s">
        <v>102</v>
      </c>
      <c r="AW5" s="5" t="s">
        <v>147</v>
      </c>
      <c r="AX5" s="5" t="s">
        <v>106</v>
      </c>
      <c r="AY5" s="5">
        <v>2750</v>
      </c>
      <c r="AZ5" s="5">
        <v>4250</v>
      </c>
      <c r="BA5" s="5">
        <v>1500</v>
      </c>
      <c r="BB5" s="5">
        <v>1600</v>
      </c>
      <c r="BC5" s="5">
        <v>0.41799999999999998</v>
      </c>
      <c r="BD5" s="5">
        <v>1</v>
      </c>
      <c r="BE5" s="5">
        <v>0.85699999999999998</v>
      </c>
      <c r="BF5" s="5">
        <v>6928</v>
      </c>
      <c r="BG5" s="5">
        <v>0</v>
      </c>
      <c r="BH5" s="5">
        <v>0</v>
      </c>
      <c r="BI5" s="5">
        <v>2</v>
      </c>
      <c r="BJ5" s="5">
        <v>1</v>
      </c>
      <c r="BK5" s="5">
        <v>0</v>
      </c>
      <c r="BL5" s="5" t="s">
        <v>107</v>
      </c>
      <c r="BM5" s="5">
        <v>0</v>
      </c>
      <c r="BN5" s="5">
        <v>3.33</v>
      </c>
      <c r="BO5" s="5">
        <v>2550</v>
      </c>
      <c r="BP5" s="5">
        <v>11000</v>
      </c>
    </row>
    <row r="6" spans="1:68" x14ac:dyDescent="0.3">
      <c r="A6" s="5" t="s">
        <v>148</v>
      </c>
      <c r="B6" s="6">
        <v>46308</v>
      </c>
      <c r="C6" s="5" t="s">
        <v>75</v>
      </c>
      <c r="D6" s="5" t="s">
        <v>124</v>
      </c>
      <c r="E6" s="5" t="s">
        <v>138</v>
      </c>
      <c r="F6" s="5" t="s">
        <v>78</v>
      </c>
      <c r="G6" s="5">
        <v>7</v>
      </c>
      <c r="H6" s="5" t="s">
        <v>110</v>
      </c>
      <c r="I6" s="5" t="s">
        <v>80</v>
      </c>
      <c r="J6" s="5" t="s">
        <v>81</v>
      </c>
      <c r="K6" s="5" t="s">
        <v>111</v>
      </c>
      <c r="L6" s="5">
        <v>0</v>
      </c>
      <c r="M6" s="5" t="s">
        <v>128</v>
      </c>
      <c r="N6" s="5" t="s">
        <v>84</v>
      </c>
      <c r="O6" s="5">
        <v>80</v>
      </c>
      <c r="P6" s="5" t="s">
        <v>149</v>
      </c>
      <c r="Q6" s="5">
        <v>7</v>
      </c>
      <c r="R6" s="5">
        <v>5</v>
      </c>
      <c r="S6" s="5" t="s">
        <v>140</v>
      </c>
      <c r="T6" s="5" t="s">
        <v>86</v>
      </c>
      <c r="U6" s="5" t="s">
        <v>88</v>
      </c>
      <c r="V6" s="5">
        <v>880</v>
      </c>
      <c r="W6" s="5" t="s">
        <v>150</v>
      </c>
      <c r="X6" s="5" t="s">
        <v>116</v>
      </c>
      <c r="Y6" s="5" t="s">
        <v>151</v>
      </c>
      <c r="Z6" s="5" t="s">
        <v>143</v>
      </c>
      <c r="AA6" s="5" t="s">
        <v>92</v>
      </c>
      <c r="AB6" s="5" t="s">
        <v>93</v>
      </c>
      <c r="AC6" s="5" t="s">
        <v>118</v>
      </c>
      <c r="AD6" s="5" t="s">
        <v>95</v>
      </c>
      <c r="AE6" s="5" t="s">
        <v>131</v>
      </c>
      <c r="AF6" s="5" t="s">
        <v>92</v>
      </c>
      <c r="AG6" s="5" t="s">
        <v>133</v>
      </c>
      <c r="AH6" s="5" t="s">
        <v>152</v>
      </c>
      <c r="AI6" s="5" t="s">
        <v>92</v>
      </c>
      <c r="AJ6" s="5" t="s">
        <v>98</v>
      </c>
      <c r="AK6" s="5" t="s">
        <v>121</v>
      </c>
      <c r="AL6" s="5" t="s">
        <v>146</v>
      </c>
      <c r="AM6" s="5">
        <v>0</v>
      </c>
      <c r="AN6" s="5" t="s">
        <v>122</v>
      </c>
      <c r="AO6" s="5" t="s">
        <v>101</v>
      </c>
      <c r="AP6" s="5" t="s">
        <v>101</v>
      </c>
      <c r="AQ6" s="5" t="s">
        <v>101</v>
      </c>
      <c r="AR6" s="5" t="s">
        <v>101</v>
      </c>
      <c r="AS6" s="5"/>
      <c r="AT6" s="5" t="s">
        <v>153</v>
      </c>
      <c r="AU6" s="5" t="s">
        <v>103</v>
      </c>
      <c r="AV6" s="5" t="s">
        <v>153</v>
      </c>
      <c r="AW6" s="5" t="s">
        <v>101</v>
      </c>
      <c r="AX6" s="5" t="s">
        <v>106</v>
      </c>
      <c r="AY6" s="5">
        <v>4250</v>
      </c>
      <c r="AZ6" s="5">
        <v>6000</v>
      </c>
      <c r="BA6" s="5">
        <v>2750</v>
      </c>
      <c r="BB6" s="5">
        <v>3370</v>
      </c>
      <c r="BC6" s="5">
        <v>0.20699999999999999</v>
      </c>
      <c r="BD6" s="5">
        <v>0.76500000000000001</v>
      </c>
      <c r="BE6" s="5">
        <v>1</v>
      </c>
      <c r="BF6" s="5">
        <v>14592</v>
      </c>
      <c r="BG6" s="5">
        <v>0</v>
      </c>
      <c r="BH6" s="5">
        <v>0</v>
      </c>
      <c r="BI6" s="5">
        <v>2</v>
      </c>
      <c r="BJ6" s="5">
        <v>1</v>
      </c>
      <c r="BK6" s="5">
        <v>0</v>
      </c>
      <c r="BL6" s="5" t="s">
        <v>107</v>
      </c>
      <c r="BM6" s="5">
        <v>1</v>
      </c>
      <c r="BN6" s="5">
        <v>3.67</v>
      </c>
      <c r="BO6" s="5">
        <v>4990</v>
      </c>
      <c r="BP6" s="5">
        <v>21500</v>
      </c>
    </row>
    <row r="7" spans="1:68" x14ac:dyDescent="0.3">
      <c r="A7" s="5" t="s">
        <v>154</v>
      </c>
      <c r="B7" s="6">
        <v>46308</v>
      </c>
      <c r="C7" s="5" t="s">
        <v>75</v>
      </c>
      <c r="D7" s="5" t="s">
        <v>155</v>
      </c>
      <c r="E7" s="5" t="s">
        <v>138</v>
      </c>
      <c r="F7" s="5" t="s">
        <v>78</v>
      </c>
      <c r="G7" s="5">
        <v>9</v>
      </c>
      <c r="H7" s="5" t="s">
        <v>156</v>
      </c>
      <c r="I7" s="5" t="s">
        <v>125</v>
      </c>
      <c r="J7" s="5" t="s">
        <v>81</v>
      </c>
      <c r="K7" s="5" t="s">
        <v>127</v>
      </c>
      <c r="L7" s="5">
        <v>5</v>
      </c>
      <c r="M7" s="5" t="s">
        <v>128</v>
      </c>
      <c r="N7" s="5" t="s">
        <v>84</v>
      </c>
      <c r="O7" s="5">
        <v>12</v>
      </c>
      <c r="P7" s="5" t="s">
        <v>149</v>
      </c>
      <c r="Q7" s="5">
        <v>7</v>
      </c>
      <c r="R7" s="5">
        <v>15</v>
      </c>
      <c r="S7" s="5" t="s">
        <v>87</v>
      </c>
      <c r="T7" s="5" t="s">
        <v>114</v>
      </c>
      <c r="U7" s="5" t="s">
        <v>86</v>
      </c>
      <c r="V7" s="5">
        <v>2720</v>
      </c>
      <c r="W7" s="5" t="s">
        <v>157</v>
      </c>
      <c r="X7" s="5" t="s">
        <v>89</v>
      </c>
      <c r="Y7" s="5" t="s">
        <v>90</v>
      </c>
      <c r="Z7" s="5" t="s">
        <v>91</v>
      </c>
      <c r="AA7" s="5" t="s">
        <v>78</v>
      </c>
      <c r="AB7" s="5" t="s">
        <v>158</v>
      </c>
      <c r="AC7" s="5" t="s">
        <v>118</v>
      </c>
      <c r="AD7" s="5" t="s">
        <v>119</v>
      </c>
      <c r="AE7" s="5" t="s">
        <v>84</v>
      </c>
      <c r="AF7" s="5" t="s">
        <v>132</v>
      </c>
      <c r="AG7" s="5" t="s">
        <v>96</v>
      </c>
      <c r="AH7" s="5" t="s">
        <v>97</v>
      </c>
      <c r="AI7" s="5" t="s">
        <v>78</v>
      </c>
      <c r="AJ7" s="5" t="s">
        <v>159</v>
      </c>
      <c r="AK7" s="5" t="s">
        <v>101</v>
      </c>
      <c r="AL7" s="5" t="s">
        <v>100</v>
      </c>
      <c r="AM7" s="5">
        <v>2400</v>
      </c>
      <c r="AN7" s="5" t="s">
        <v>92</v>
      </c>
      <c r="AO7" s="5" t="s">
        <v>101</v>
      </c>
      <c r="AP7" s="5" t="s">
        <v>101</v>
      </c>
      <c r="AQ7" s="5" t="s">
        <v>101</v>
      </c>
      <c r="AR7" s="5" t="s">
        <v>101</v>
      </c>
      <c r="AS7" s="5"/>
      <c r="AT7" s="5" t="s">
        <v>104</v>
      </c>
      <c r="AU7" s="5" t="s">
        <v>104</v>
      </c>
      <c r="AV7" s="5" t="s">
        <v>102</v>
      </c>
      <c r="AW7" s="5" t="s">
        <v>160</v>
      </c>
      <c r="AX7" s="5" t="s">
        <v>106</v>
      </c>
      <c r="AY7" s="5">
        <v>8000</v>
      </c>
      <c r="AZ7" s="5">
        <v>10000</v>
      </c>
      <c r="BA7" s="5">
        <v>6000</v>
      </c>
      <c r="BB7" s="5">
        <v>5280</v>
      </c>
      <c r="BC7" s="5">
        <v>0.34</v>
      </c>
      <c r="BD7" s="5">
        <v>0.5</v>
      </c>
      <c r="BE7" s="5">
        <v>1</v>
      </c>
      <c r="BF7" s="5">
        <v>22862</v>
      </c>
      <c r="BG7" s="5">
        <v>0.105</v>
      </c>
      <c r="BH7" s="5">
        <v>1.5</v>
      </c>
      <c r="BI7" s="5">
        <v>1</v>
      </c>
      <c r="BJ7" s="5">
        <v>1</v>
      </c>
      <c r="BK7" s="5">
        <v>0</v>
      </c>
      <c r="BL7" s="5" t="s">
        <v>107</v>
      </c>
      <c r="BM7" s="5">
        <v>0</v>
      </c>
      <c r="BN7" s="5">
        <v>3.33</v>
      </c>
      <c r="BO7" s="5">
        <v>7360</v>
      </c>
      <c r="BP7" s="5">
        <v>31600</v>
      </c>
    </row>
    <row r="8" spans="1:68" x14ac:dyDescent="0.3">
      <c r="A8" s="5" t="s">
        <v>161</v>
      </c>
      <c r="B8" s="6">
        <v>46308</v>
      </c>
      <c r="C8" s="5" t="s">
        <v>75</v>
      </c>
      <c r="D8" s="5" t="s">
        <v>162</v>
      </c>
      <c r="E8" s="5" t="s">
        <v>77</v>
      </c>
      <c r="F8" s="5" t="s">
        <v>78</v>
      </c>
      <c r="G8" s="5">
        <v>8</v>
      </c>
      <c r="H8" s="5" t="s">
        <v>110</v>
      </c>
      <c r="I8" s="5" t="s">
        <v>80</v>
      </c>
      <c r="J8" s="5" t="s">
        <v>163</v>
      </c>
      <c r="K8" s="5" t="s">
        <v>127</v>
      </c>
      <c r="L8" s="5">
        <v>3</v>
      </c>
      <c r="M8" s="5" t="s">
        <v>83</v>
      </c>
      <c r="N8" s="5" t="s">
        <v>84</v>
      </c>
      <c r="O8" s="5">
        <v>20</v>
      </c>
      <c r="P8" s="5" t="s">
        <v>113</v>
      </c>
      <c r="Q8" s="5">
        <v>6</v>
      </c>
      <c r="R8" s="5">
        <v>3</v>
      </c>
      <c r="S8" s="5" t="s">
        <v>88</v>
      </c>
      <c r="T8" s="5" t="s">
        <v>140</v>
      </c>
      <c r="U8" s="5" t="s">
        <v>129</v>
      </c>
      <c r="V8" s="5">
        <v>580</v>
      </c>
      <c r="W8" s="5" t="s">
        <v>164</v>
      </c>
      <c r="X8" s="5" t="s">
        <v>116</v>
      </c>
      <c r="Y8" s="5" t="s">
        <v>90</v>
      </c>
      <c r="Z8" s="5" t="s">
        <v>91</v>
      </c>
      <c r="AA8" s="5" t="s">
        <v>78</v>
      </c>
      <c r="AB8" s="5" t="s">
        <v>158</v>
      </c>
      <c r="AC8" s="5" t="s">
        <v>94</v>
      </c>
      <c r="AD8" s="5" t="s">
        <v>95</v>
      </c>
      <c r="AE8" s="5" t="s">
        <v>84</v>
      </c>
      <c r="AF8" s="5" t="s">
        <v>132</v>
      </c>
      <c r="AG8" s="5" t="s">
        <v>96</v>
      </c>
      <c r="AH8" s="5" t="s">
        <v>97</v>
      </c>
      <c r="AI8" s="5" t="s">
        <v>92</v>
      </c>
      <c r="AJ8" s="5" t="s">
        <v>98</v>
      </c>
      <c r="AK8" s="5" t="s">
        <v>121</v>
      </c>
      <c r="AL8" s="5" t="s">
        <v>165</v>
      </c>
      <c r="AM8" s="5">
        <v>0</v>
      </c>
      <c r="AN8" s="5" t="s">
        <v>122</v>
      </c>
      <c r="AO8" s="5" t="s">
        <v>101</v>
      </c>
      <c r="AP8" s="5" t="s">
        <v>101</v>
      </c>
      <c r="AQ8" s="5" t="s">
        <v>101</v>
      </c>
      <c r="AR8" s="5" t="s">
        <v>101</v>
      </c>
      <c r="AS8" s="5"/>
      <c r="AT8" s="5" t="s">
        <v>104</v>
      </c>
      <c r="AU8" s="5" t="s">
        <v>102</v>
      </c>
      <c r="AV8" s="5" t="s">
        <v>153</v>
      </c>
      <c r="AW8" s="5" t="s">
        <v>135</v>
      </c>
      <c r="AX8" s="5" t="s">
        <v>106</v>
      </c>
      <c r="AY8" s="5">
        <v>2750</v>
      </c>
      <c r="AZ8" s="5">
        <v>4250</v>
      </c>
      <c r="BA8" s="5">
        <v>1500</v>
      </c>
      <c r="BB8" s="5">
        <v>2170</v>
      </c>
      <c r="BC8" s="5">
        <v>0.21099999999999999</v>
      </c>
      <c r="BD8" s="5">
        <v>1</v>
      </c>
      <c r="BE8" s="5">
        <v>0.85699999999999998</v>
      </c>
      <c r="BF8" s="5">
        <v>9396</v>
      </c>
      <c r="BG8" s="5">
        <v>0</v>
      </c>
      <c r="BH8" s="5">
        <v>1.5</v>
      </c>
      <c r="BI8" s="5">
        <v>2</v>
      </c>
      <c r="BJ8" s="5">
        <v>1</v>
      </c>
      <c r="BK8" s="5">
        <v>0</v>
      </c>
      <c r="BL8" s="5" t="s">
        <v>107</v>
      </c>
      <c r="BM8" s="5">
        <v>0</v>
      </c>
      <c r="BN8" s="5">
        <v>3</v>
      </c>
      <c r="BO8" s="5">
        <v>2540</v>
      </c>
      <c r="BP8" s="5">
        <v>10900</v>
      </c>
    </row>
    <row r="9" spans="1:68" x14ac:dyDescent="0.3">
      <c r="A9" s="5" t="s">
        <v>166</v>
      </c>
      <c r="B9" s="6">
        <v>46316</v>
      </c>
      <c r="C9" s="5" t="s">
        <v>75</v>
      </c>
      <c r="D9" s="5" t="s">
        <v>162</v>
      </c>
      <c r="E9" s="5" t="s">
        <v>138</v>
      </c>
      <c r="F9" s="5" t="s">
        <v>78</v>
      </c>
      <c r="G9" s="5">
        <v>7</v>
      </c>
      <c r="H9" s="5" t="s">
        <v>110</v>
      </c>
      <c r="I9" s="5" t="s">
        <v>80</v>
      </c>
      <c r="J9" s="5" t="s">
        <v>81</v>
      </c>
      <c r="K9" s="5" t="s">
        <v>82</v>
      </c>
      <c r="L9" s="5">
        <v>0</v>
      </c>
      <c r="M9" s="5" t="s">
        <v>167</v>
      </c>
      <c r="N9" s="5" t="s">
        <v>84</v>
      </c>
      <c r="O9" s="5">
        <v>4</v>
      </c>
      <c r="P9" s="5" t="s">
        <v>149</v>
      </c>
      <c r="Q9" s="5">
        <v>6</v>
      </c>
      <c r="R9" s="5">
        <v>12</v>
      </c>
      <c r="S9" s="5" t="s">
        <v>140</v>
      </c>
      <c r="T9" s="5" t="s">
        <v>86</v>
      </c>
      <c r="U9" s="5" t="s">
        <v>88</v>
      </c>
      <c r="V9" s="5">
        <v>1820</v>
      </c>
      <c r="W9" s="5"/>
      <c r="X9" s="5" t="s">
        <v>116</v>
      </c>
      <c r="Y9" s="5" t="s">
        <v>117</v>
      </c>
      <c r="Z9" s="5" t="s">
        <v>168</v>
      </c>
      <c r="AA9" s="5" t="s">
        <v>78</v>
      </c>
      <c r="AB9" s="5" t="s">
        <v>158</v>
      </c>
      <c r="AC9" s="5" t="s">
        <v>118</v>
      </c>
      <c r="AD9" s="5" t="s">
        <v>95</v>
      </c>
      <c r="AE9" s="5" t="s">
        <v>169</v>
      </c>
      <c r="AF9" s="5" t="s">
        <v>92</v>
      </c>
      <c r="AG9" s="5" t="s">
        <v>133</v>
      </c>
      <c r="AH9" s="5" t="s">
        <v>97</v>
      </c>
      <c r="AI9" s="5" t="s">
        <v>78</v>
      </c>
      <c r="AJ9" s="5" t="s">
        <v>159</v>
      </c>
      <c r="AK9" s="5" t="s">
        <v>101</v>
      </c>
      <c r="AL9" s="5" t="s">
        <v>170</v>
      </c>
      <c r="AM9" s="5">
        <v>1200</v>
      </c>
      <c r="AN9" s="5" t="s">
        <v>92</v>
      </c>
      <c r="AO9" s="5" t="s">
        <v>101</v>
      </c>
      <c r="AP9" s="5" t="s">
        <v>101</v>
      </c>
      <c r="AQ9" s="5" t="s">
        <v>101</v>
      </c>
      <c r="AR9" s="5" t="s">
        <v>101</v>
      </c>
      <c r="AS9" s="5"/>
      <c r="AT9" s="5" t="s">
        <v>103</v>
      </c>
      <c r="AU9" s="5" t="s">
        <v>103</v>
      </c>
      <c r="AV9" s="5" t="s">
        <v>104</v>
      </c>
      <c r="AW9" s="5" t="s">
        <v>101</v>
      </c>
      <c r="AX9" s="5" t="s">
        <v>106</v>
      </c>
      <c r="AY9" s="5">
        <v>4250</v>
      </c>
      <c r="AZ9" s="5">
        <v>6000</v>
      </c>
      <c r="BA9" s="5">
        <v>2750</v>
      </c>
      <c r="BB9" s="5">
        <v>2430</v>
      </c>
      <c r="BC9" s="5">
        <v>0.42799999999999999</v>
      </c>
      <c r="BD9" s="5">
        <v>0.76500000000000001</v>
      </c>
      <c r="BE9" s="5">
        <v>0.85699999999999998</v>
      </c>
      <c r="BF9" s="5">
        <v>10522</v>
      </c>
      <c r="BG9" s="5">
        <v>0.114</v>
      </c>
      <c r="BH9" s="5">
        <v>1.5</v>
      </c>
      <c r="BI9" s="5">
        <v>0</v>
      </c>
      <c r="BJ9" s="5">
        <v>2</v>
      </c>
      <c r="BK9" s="5">
        <v>0</v>
      </c>
      <c r="BL9" s="5" t="s">
        <v>107</v>
      </c>
      <c r="BM9" s="5">
        <v>0</v>
      </c>
      <c r="BN9" s="5">
        <v>4.67</v>
      </c>
      <c r="BO9" s="5">
        <v>4050</v>
      </c>
      <c r="BP9" s="5">
        <v>17400</v>
      </c>
    </row>
    <row r="10" spans="1:68" x14ac:dyDescent="0.3">
      <c r="A10" s="5" t="s">
        <v>171</v>
      </c>
      <c r="B10" s="6">
        <v>46308</v>
      </c>
      <c r="C10" s="5" t="s">
        <v>75</v>
      </c>
      <c r="D10" s="5" t="s">
        <v>172</v>
      </c>
      <c r="E10" s="5" t="s">
        <v>77</v>
      </c>
      <c r="F10" s="5" t="s">
        <v>78</v>
      </c>
      <c r="G10" s="5">
        <v>8</v>
      </c>
      <c r="H10" s="5" t="s">
        <v>156</v>
      </c>
      <c r="I10" s="5" t="s">
        <v>80</v>
      </c>
      <c r="J10" s="5" t="s">
        <v>81</v>
      </c>
      <c r="K10" s="5" t="s">
        <v>82</v>
      </c>
      <c r="L10" s="5">
        <v>0</v>
      </c>
      <c r="M10" s="5" t="s">
        <v>173</v>
      </c>
      <c r="N10" s="5" t="s">
        <v>84</v>
      </c>
      <c r="O10" s="5">
        <v>51</v>
      </c>
      <c r="P10" s="5" t="s">
        <v>149</v>
      </c>
      <c r="Q10" s="5">
        <v>4</v>
      </c>
      <c r="R10" s="5">
        <v>6</v>
      </c>
      <c r="S10" s="5" t="s">
        <v>129</v>
      </c>
      <c r="T10" s="5" t="s">
        <v>88</v>
      </c>
      <c r="U10" s="5" t="s">
        <v>129</v>
      </c>
      <c r="V10" s="5">
        <v>620</v>
      </c>
      <c r="W10" s="5" t="s">
        <v>174</v>
      </c>
      <c r="X10" s="5" t="s">
        <v>142</v>
      </c>
      <c r="Y10" s="5" t="s">
        <v>90</v>
      </c>
      <c r="Z10" s="5" t="s">
        <v>91</v>
      </c>
      <c r="AA10" s="5" t="s">
        <v>78</v>
      </c>
      <c r="AB10" s="5" t="s">
        <v>175</v>
      </c>
      <c r="AC10" s="5" t="s">
        <v>118</v>
      </c>
      <c r="AD10" s="5" t="s">
        <v>130</v>
      </c>
      <c r="AE10" s="5" t="s">
        <v>84</v>
      </c>
      <c r="AF10" s="5" t="s">
        <v>132</v>
      </c>
      <c r="AG10" s="5" t="s">
        <v>96</v>
      </c>
      <c r="AH10" s="5" t="s">
        <v>97</v>
      </c>
      <c r="AI10" s="5" t="s">
        <v>78</v>
      </c>
      <c r="AJ10" s="5" t="s">
        <v>159</v>
      </c>
      <c r="AK10" s="5" t="s">
        <v>101</v>
      </c>
      <c r="AL10" s="5" t="s">
        <v>176</v>
      </c>
      <c r="AM10" s="5">
        <v>1400</v>
      </c>
      <c r="AN10" s="5" t="s">
        <v>92</v>
      </c>
      <c r="AO10" s="5" t="s">
        <v>101</v>
      </c>
      <c r="AP10" s="5" t="s">
        <v>101</v>
      </c>
      <c r="AQ10" s="5" t="s">
        <v>101</v>
      </c>
      <c r="AR10" s="5" t="s">
        <v>101</v>
      </c>
      <c r="AS10" s="5"/>
      <c r="AT10" s="5" t="s">
        <v>104</v>
      </c>
      <c r="AU10" s="5" t="s">
        <v>103</v>
      </c>
      <c r="AV10" s="5" t="s">
        <v>104</v>
      </c>
      <c r="AW10" s="5" t="s">
        <v>101</v>
      </c>
      <c r="AX10" s="5" t="s">
        <v>106</v>
      </c>
      <c r="AY10" s="5">
        <v>1500</v>
      </c>
      <c r="AZ10" s="5">
        <v>2750</v>
      </c>
      <c r="BA10" s="5">
        <v>1500</v>
      </c>
      <c r="BB10" s="5">
        <v>880</v>
      </c>
      <c r="BC10" s="5">
        <v>0.41299999999999998</v>
      </c>
      <c r="BD10" s="5">
        <v>0.83299999999999996</v>
      </c>
      <c r="BE10" s="5">
        <v>0.57099999999999995</v>
      </c>
      <c r="BF10" s="5">
        <v>3810</v>
      </c>
      <c r="BG10" s="5">
        <v>0.36699999999999999</v>
      </c>
      <c r="BH10" s="5">
        <v>0.5</v>
      </c>
      <c r="BI10" s="5">
        <v>3</v>
      </c>
      <c r="BJ10" s="5">
        <v>1</v>
      </c>
      <c r="BK10" s="5">
        <v>0</v>
      </c>
      <c r="BL10" s="5" t="s">
        <v>107</v>
      </c>
      <c r="BM10" s="5">
        <v>0</v>
      </c>
      <c r="BN10" s="5">
        <v>4.33</v>
      </c>
      <c r="BO10" s="5">
        <v>1370</v>
      </c>
      <c r="BP10" s="5">
        <v>5900</v>
      </c>
    </row>
    <row r="11" spans="1:68" x14ac:dyDescent="0.3">
      <c r="A11" s="5" t="s">
        <v>177</v>
      </c>
      <c r="B11" s="6">
        <v>46308</v>
      </c>
      <c r="C11" s="5" t="s">
        <v>75</v>
      </c>
      <c r="D11" s="5" t="s">
        <v>162</v>
      </c>
      <c r="E11" s="5" t="s">
        <v>138</v>
      </c>
      <c r="F11" s="5" t="s">
        <v>78</v>
      </c>
      <c r="G11" s="5">
        <v>8</v>
      </c>
      <c r="H11" s="5" t="s">
        <v>110</v>
      </c>
      <c r="I11" s="5" t="s">
        <v>80</v>
      </c>
      <c r="J11" s="5" t="s">
        <v>178</v>
      </c>
      <c r="K11" s="5" t="s">
        <v>82</v>
      </c>
      <c r="L11" s="5">
        <v>3</v>
      </c>
      <c r="M11" s="5" t="s">
        <v>179</v>
      </c>
      <c r="N11" s="5" t="s">
        <v>84</v>
      </c>
      <c r="O11" s="5">
        <v>20</v>
      </c>
      <c r="P11" s="5" t="s">
        <v>85</v>
      </c>
      <c r="Q11" s="5">
        <v>4</v>
      </c>
      <c r="R11" s="5">
        <v>15</v>
      </c>
      <c r="S11" s="5" t="s">
        <v>86</v>
      </c>
      <c r="T11" s="5" t="s">
        <v>87</v>
      </c>
      <c r="U11" s="5" t="s">
        <v>88</v>
      </c>
      <c r="V11" s="5">
        <v>1680</v>
      </c>
      <c r="W11" s="5" t="s">
        <v>180</v>
      </c>
      <c r="X11" s="5" t="s">
        <v>116</v>
      </c>
      <c r="Y11" s="5" t="s">
        <v>90</v>
      </c>
      <c r="Z11" s="5" t="s">
        <v>143</v>
      </c>
      <c r="AA11" s="5" t="s">
        <v>92</v>
      </c>
      <c r="AB11" s="5" t="s">
        <v>93</v>
      </c>
      <c r="AC11" s="5" t="s">
        <v>118</v>
      </c>
      <c r="AD11" s="5" t="s">
        <v>130</v>
      </c>
      <c r="AE11" s="5" t="s">
        <v>84</v>
      </c>
      <c r="AF11" s="5" t="s">
        <v>92</v>
      </c>
      <c r="AG11" s="5" t="s">
        <v>181</v>
      </c>
      <c r="AH11" s="5" t="s">
        <v>120</v>
      </c>
      <c r="AI11" s="5" t="s">
        <v>78</v>
      </c>
      <c r="AJ11" s="5" t="s">
        <v>159</v>
      </c>
      <c r="AK11" s="5" t="s">
        <v>101</v>
      </c>
      <c r="AL11" s="5" t="s">
        <v>182</v>
      </c>
      <c r="AM11" s="5">
        <v>3700</v>
      </c>
      <c r="AN11" s="5" t="s">
        <v>78</v>
      </c>
      <c r="AO11" s="5" t="s">
        <v>183</v>
      </c>
      <c r="AP11" s="5" t="s">
        <v>184</v>
      </c>
      <c r="AQ11" s="5" t="s">
        <v>78</v>
      </c>
      <c r="AR11" s="5" t="s">
        <v>78</v>
      </c>
      <c r="AS11" s="5"/>
      <c r="AT11" s="5" t="s">
        <v>104</v>
      </c>
      <c r="AU11" s="5" t="s">
        <v>153</v>
      </c>
      <c r="AV11" s="5" t="s">
        <v>103</v>
      </c>
      <c r="AW11" s="5" t="s">
        <v>101</v>
      </c>
      <c r="AX11" s="5" t="s">
        <v>106</v>
      </c>
      <c r="AY11" s="5">
        <v>6000</v>
      </c>
      <c r="AZ11" s="5">
        <v>8000</v>
      </c>
      <c r="BA11" s="5">
        <v>2750</v>
      </c>
      <c r="BB11" s="5">
        <v>4320</v>
      </c>
      <c r="BC11" s="5">
        <v>0.28000000000000003</v>
      </c>
      <c r="BD11" s="5">
        <v>0.875</v>
      </c>
      <c r="BE11" s="5">
        <v>0.57099999999999995</v>
      </c>
      <c r="BF11" s="5">
        <v>18706</v>
      </c>
      <c r="BG11" s="5">
        <v>0.19800000000000001</v>
      </c>
      <c r="BH11" s="5">
        <v>0</v>
      </c>
      <c r="BI11" s="5">
        <v>3</v>
      </c>
      <c r="BJ11" s="5">
        <v>2</v>
      </c>
      <c r="BK11" s="5">
        <v>1</v>
      </c>
      <c r="BL11" s="5" t="s">
        <v>185</v>
      </c>
      <c r="BM11" s="5">
        <v>1</v>
      </c>
      <c r="BN11" s="5">
        <v>4</v>
      </c>
      <c r="BO11" s="5">
        <v>5740</v>
      </c>
      <c r="BP11" s="5">
        <v>24700</v>
      </c>
    </row>
    <row r="12" spans="1:68" x14ac:dyDescent="0.3">
      <c r="A12" s="5" t="s">
        <v>186</v>
      </c>
      <c r="B12" s="6">
        <v>46308</v>
      </c>
      <c r="C12" s="5" t="s">
        <v>75</v>
      </c>
      <c r="D12" s="5" t="s">
        <v>76</v>
      </c>
      <c r="E12" s="5" t="s">
        <v>187</v>
      </c>
      <c r="F12" s="5" t="s">
        <v>78</v>
      </c>
      <c r="G12" s="5">
        <v>9</v>
      </c>
      <c r="H12" s="5" t="s">
        <v>79</v>
      </c>
      <c r="I12" s="5" t="s">
        <v>80</v>
      </c>
      <c r="J12" s="5" t="s">
        <v>163</v>
      </c>
      <c r="K12" s="5" t="s">
        <v>127</v>
      </c>
      <c r="L12" s="5">
        <v>3</v>
      </c>
      <c r="M12" s="5" t="s">
        <v>179</v>
      </c>
      <c r="N12" s="5" t="s">
        <v>84</v>
      </c>
      <c r="O12" s="5">
        <v>45</v>
      </c>
      <c r="P12" s="5" t="s">
        <v>113</v>
      </c>
      <c r="Q12" s="5">
        <v>5</v>
      </c>
      <c r="R12" s="5">
        <v>4</v>
      </c>
      <c r="S12" s="5" t="s">
        <v>88</v>
      </c>
      <c r="T12" s="5" t="s">
        <v>140</v>
      </c>
      <c r="U12" s="5" t="s">
        <v>129</v>
      </c>
      <c r="V12" s="5">
        <v>610</v>
      </c>
      <c r="W12" s="5" t="s">
        <v>188</v>
      </c>
      <c r="X12" s="5" t="s">
        <v>89</v>
      </c>
      <c r="Y12" s="5" t="s">
        <v>90</v>
      </c>
      <c r="Z12" s="5" t="s">
        <v>168</v>
      </c>
      <c r="AA12" s="5" t="s">
        <v>92</v>
      </c>
      <c r="AB12" s="5" t="s">
        <v>93</v>
      </c>
      <c r="AC12" s="5" t="s">
        <v>118</v>
      </c>
      <c r="AD12" s="5" t="s">
        <v>95</v>
      </c>
      <c r="AE12" s="5" t="s">
        <v>84</v>
      </c>
      <c r="AF12" s="5" t="s">
        <v>144</v>
      </c>
      <c r="AG12" s="5" t="s">
        <v>133</v>
      </c>
      <c r="AH12" s="5" t="s">
        <v>97</v>
      </c>
      <c r="AI12" s="5" t="s">
        <v>92</v>
      </c>
      <c r="AJ12" s="5" t="s">
        <v>98</v>
      </c>
      <c r="AK12" s="5" t="s">
        <v>99</v>
      </c>
      <c r="AL12" s="5" t="s">
        <v>189</v>
      </c>
      <c r="AM12" s="5">
        <v>1200</v>
      </c>
      <c r="AN12" s="5" t="s">
        <v>92</v>
      </c>
      <c r="AO12" s="5" t="s">
        <v>101</v>
      </c>
      <c r="AP12" s="5" t="s">
        <v>101</v>
      </c>
      <c r="AQ12" s="5" t="s">
        <v>101</v>
      </c>
      <c r="AR12" s="5" t="s">
        <v>101</v>
      </c>
      <c r="AS12" s="5">
        <v>6</v>
      </c>
      <c r="AT12" s="5" t="s">
        <v>153</v>
      </c>
      <c r="AU12" s="5" t="s">
        <v>104</v>
      </c>
      <c r="AV12" s="5" t="s">
        <v>104</v>
      </c>
      <c r="AW12" s="5" t="s">
        <v>101</v>
      </c>
      <c r="AX12" s="5" t="s">
        <v>106</v>
      </c>
      <c r="AY12" s="5">
        <v>2750</v>
      </c>
      <c r="AZ12" s="5">
        <v>4250</v>
      </c>
      <c r="BA12" s="5">
        <v>1500</v>
      </c>
      <c r="BB12" s="5">
        <v>2140</v>
      </c>
      <c r="BC12" s="5">
        <v>0.222</v>
      </c>
      <c r="BD12" s="5">
        <v>1</v>
      </c>
      <c r="BE12" s="5">
        <v>0.71399999999999997</v>
      </c>
      <c r="BF12" s="5">
        <v>9266</v>
      </c>
      <c r="BG12" s="5">
        <v>0.13</v>
      </c>
      <c r="BH12" s="5">
        <v>0</v>
      </c>
      <c r="BI12" s="5">
        <v>2</v>
      </c>
      <c r="BJ12" s="5">
        <v>2</v>
      </c>
      <c r="BK12" s="5">
        <v>0</v>
      </c>
      <c r="BL12" s="5" t="s">
        <v>107</v>
      </c>
      <c r="BM12" s="5">
        <v>0</v>
      </c>
      <c r="BN12" s="5">
        <v>3.67</v>
      </c>
      <c r="BO12" s="5">
        <v>2750</v>
      </c>
      <c r="BP12" s="5">
        <v>11800</v>
      </c>
    </row>
    <row r="13" spans="1:68" x14ac:dyDescent="0.3">
      <c r="A13" s="5" t="s">
        <v>190</v>
      </c>
      <c r="B13" s="6">
        <v>46308</v>
      </c>
      <c r="C13" s="5" t="s">
        <v>75</v>
      </c>
      <c r="D13" s="5" t="s">
        <v>109</v>
      </c>
      <c r="E13" s="5" t="s">
        <v>138</v>
      </c>
      <c r="F13" s="5" t="s">
        <v>78</v>
      </c>
      <c r="G13" s="5">
        <v>8</v>
      </c>
      <c r="H13" s="5" t="s">
        <v>191</v>
      </c>
      <c r="I13" s="5" t="s">
        <v>80</v>
      </c>
      <c r="J13" s="5" t="s">
        <v>126</v>
      </c>
      <c r="K13" s="5" t="s">
        <v>127</v>
      </c>
      <c r="L13" s="5">
        <v>0</v>
      </c>
      <c r="M13" s="5" t="s">
        <v>112</v>
      </c>
      <c r="N13" s="5" t="s">
        <v>84</v>
      </c>
      <c r="O13" s="5">
        <v>41</v>
      </c>
      <c r="P13" s="5" t="s">
        <v>113</v>
      </c>
      <c r="Q13" s="5">
        <v>7</v>
      </c>
      <c r="R13" s="5">
        <v>11</v>
      </c>
      <c r="S13" s="5" t="s">
        <v>140</v>
      </c>
      <c r="T13" s="5" t="s">
        <v>86</v>
      </c>
      <c r="U13" s="5" t="s">
        <v>88</v>
      </c>
      <c r="V13" s="5">
        <v>2140</v>
      </c>
      <c r="W13" s="5" t="s">
        <v>192</v>
      </c>
      <c r="X13" s="5" t="s">
        <v>142</v>
      </c>
      <c r="Y13" s="5" t="s">
        <v>90</v>
      </c>
      <c r="Z13" s="5" t="s">
        <v>91</v>
      </c>
      <c r="AA13" s="5" t="s">
        <v>92</v>
      </c>
      <c r="AB13" s="5" t="s">
        <v>93</v>
      </c>
      <c r="AC13" s="5" t="s">
        <v>118</v>
      </c>
      <c r="AD13" s="5" t="s">
        <v>95</v>
      </c>
      <c r="AE13" s="5" t="s">
        <v>169</v>
      </c>
      <c r="AF13" s="5" t="s">
        <v>144</v>
      </c>
      <c r="AG13" s="5" t="s">
        <v>181</v>
      </c>
      <c r="AH13" s="5" t="s">
        <v>120</v>
      </c>
      <c r="AI13" s="5" t="s">
        <v>78</v>
      </c>
      <c r="AJ13" s="5" t="s">
        <v>159</v>
      </c>
      <c r="AK13" s="5" t="s">
        <v>101</v>
      </c>
      <c r="AL13" s="5" t="s">
        <v>193</v>
      </c>
      <c r="AM13" s="5">
        <v>5000</v>
      </c>
      <c r="AN13" s="5" t="s">
        <v>92</v>
      </c>
      <c r="AO13" s="5" t="s">
        <v>101</v>
      </c>
      <c r="AP13" s="5" t="s">
        <v>101</v>
      </c>
      <c r="AQ13" s="5" t="s">
        <v>101</v>
      </c>
      <c r="AR13" s="5" t="s">
        <v>101</v>
      </c>
      <c r="AS13" s="5">
        <v>5</v>
      </c>
      <c r="AT13" s="5" t="s">
        <v>104</v>
      </c>
      <c r="AU13" s="5" t="s">
        <v>103</v>
      </c>
      <c r="AV13" s="5" t="s">
        <v>104</v>
      </c>
      <c r="AW13" s="5" t="s">
        <v>101</v>
      </c>
      <c r="AX13" s="5" t="s">
        <v>106</v>
      </c>
      <c r="AY13" s="5">
        <v>4250</v>
      </c>
      <c r="AZ13" s="5">
        <v>6000</v>
      </c>
      <c r="BA13" s="5">
        <v>2750</v>
      </c>
      <c r="BB13" s="5">
        <v>2110</v>
      </c>
      <c r="BC13" s="5">
        <v>0.504</v>
      </c>
      <c r="BD13" s="5">
        <v>0.76500000000000001</v>
      </c>
      <c r="BE13" s="5">
        <v>1</v>
      </c>
      <c r="BF13" s="5">
        <v>9136</v>
      </c>
      <c r="BG13" s="5">
        <v>0.54700000000000004</v>
      </c>
      <c r="BH13" s="5">
        <v>0</v>
      </c>
      <c r="BI13" s="5">
        <v>2</v>
      </c>
      <c r="BJ13" s="5">
        <v>2</v>
      </c>
      <c r="BK13" s="5">
        <v>0</v>
      </c>
      <c r="BL13" s="5" t="s">
        <v>107</v>
      </c>
      <c r="BM13" s="5">
        <v>1</v>
      </c>
      <c r="BN13" s="5">
        <v>4.33</v>
      </c>
      <c r="BO13" s="5">
        <v>4750</v>
      </c>
      <c r="BP13" s="5">
        <v>20400</v>
      </c>
    </row>
    <row r="14" spans="1:68" x14ac:dyDescent="0.3">
      <c r="A14" s="5" t="s">
        <v>194</v>
      </c>
      <c r="B14" s="6">
        <v>46308</v>
      </c>
      <c r="C14" s="5" t="s">
        <v>75</v>
      </c>
      <c r="D14" s="5" t="s">
        <v>195</v>
      </c>
      <c r="E14" s="5" t="s">
        <v>77</v>
      </c>
      <c r="F14" s="5" t="s">
        <v>78</v>
      </c>
      <c r="G14" s="5">
        <v>7</v>
      </c>
      <c r="H14" s="5" t="s">
        <v>79</v>
      </c>
      <c r="I14" s="5" t="s">
        <v>80</v>
      </c>
      <c r="J14" s="5" t="s">
        <v>196</v>
      </c>
      <c r="K14" s="5" t="s">
        <v>82</v>
      </c>
      <c r="L14" s="5">
        <v>3</v>
      </c>
      <c r="M14" s="5" t="s">
        <v>197</v>
      </c>
      <c r="N14" s="5" t="s">
        <v>131</v>
      </c>
      <c r="O14" s="5">
        <v>12</v>
      </c>
      <c r="P14" s="5" t="s">
        <v>198</v>
      </c>
      <c r="Q14" s="5">
        <v>7</v>
      </c>
      <c r="R14" s="5">
        <v>13</v>
      </c>
      <c r="S14" s="5" t="s">
        <v>87</v>
      </c>
      <c r="T14" s="5" t="s">
        <v>114</v>
      </c>
      <c r="U14" s="5" t="s">
        <v>86</v>
      </c>
      <c r="V14" s="5">
        <v>50</v>
      </c>
      <c r="W14" s="5"/>
      <c r="X14" s="5" t="s">
        <v>116</v>
      </c>
      <c r="Y14" s="5" t="s">
        <v>90</v>
      </c>
      <c r="Z14" s="5" t="s">
        <v>168</v>
      </c>
      <c r="AA14" s="5" t="s">
        <v>78</v>
      </c>
      <c r="AB14" s="5" t="s">
        <v>175</v>
      </c>
      <c r="AC14" s="5" t="s">
        <v>94</v>
      </c>
      <c r="AD14" s="5" t="s">
        <v>130</v>
      </c>
      <c r="AE14" s="5" t="s">
        <v>169</v>
      </c>
      <c r="AF14" s="5" t="s">
        <v>92</v>
      </c>
      <c r="AG14" s="5" t="s">
        <v>181</v>
      </c>
      <c r="AH14" s="5" t="s">
        <v>97</v>
      </c>
      <c r="AI14" s="5" t="s">
        <v>78</v>
      </c>
      <c r="AJ14" s="5" t="s">
        <v>159</v>
      </c>
      <c r="AK14" s="5" t="s">
        <v>101</v>
      </c>
      <c r="AL14" s="5" t="s">
        <v>199</v>
      </c>
      <c r="AM14" s="5">
        <v>3400</v>
      </c>
      <c r="AN14" s="5" t="s">
        <v>78</v>
      </c>
      <c r="AO14" s="5" t="s">
        <v>183</v>
      </c>
      <c r="AP14" s="5" t="s">
        <v>184</v>
      </c>
      <c r="AQ14" s="5" t="s">
        <v>78</v>
      </c>
      <c r="AR14" s="5" t="s">
        <v>92</v>
      </c>
      <c r="AS14" s="5"/>
      <c r="AT14" s="5" t="s">
        <v>103</v>
      </c>
      <c r="AU14" s="5" t="s">
        <v>153</v>
      </c>
      <c r="AV14" s="5" t="s">
        <v>103</v>
      </c>
      <c r="AW14" s="5" t="s">
        <v>101</v>
      </c>
      <c r="AX14" s="5" t="s">
        <v>106</v>
      </c>
      <c r="AY14" s="5">
        <v>8000</v>
      </c>
      <c r="AZ14" s="5">
        <v>10000</v>
      </c>
      <c r="BA14" s="5">
        <v>6000</v>
      </c>
      <c r="BB14" s="5">
        <v>7950</v>
      </c>
      <c r="BC14" s="5">
        <v>6.0000000000000001E-3</v>
      </c>
      <c r="BD14" s="5">
        <v>0.5</v>
      </c>
      <c r="BE14" s="5">
        <v>1</v>
      </c>
      <c r="BF14" s="5">
        <v>34424</v>
      </c>
      <c r="BG14" s="5">
        <v>9.9000000000000005E-2</v>
      </c>
      <c r="BH14" s="5">
        <v>0.5</v>
      </c>
      <c r="BI14" s="5">
        <v>0</v>
      </c>
      <c r="BJ14" s="5">
        <v>1</v>
      </c>
      <c r="BK14" s="5">
        <v>1</v>
      </c>
      <c r="BL14" s="5" t="s">
        <v>185</v>
      </c>
      <c r="BM14" s="5">
        <v>0</v>
      </c>
      <c r="BN14" s="5">
        <v>4.33</v>
      </c>
      <c r="BO14" s="5">
        <v>8450</v>
      </c>
      <c r="BP14" s="5">
        <v>36300</v>
      </c>
    </row>
    <row r="15" spans="1:68" x14ac:dyDescent="0.3">
      <c r="A15" s="5" t="s">
        <v>200</v>
      </c>
      <c r="B15" s="6">
        <v>46316</v>
      </c>
      <c r="C15" s="5" t="s">
        <v>75</v>
      </c>
      <c r="D15" s="5" t="s">
        <v>124</v>
      </c>
      <c r="E15" s="5" t="s">
        <v>138</v>
      </c>
      <c r="F15" s="5" t="s">
        <v>78</v>
      </c>
      <c r="G15" s="5">
        <v>11</v>
      </c>
      <c r="H15" s="5" t="s">
        <v>156</v>
      </c>
      <c r="I15" s="5" t="s">
        <v>80</v>
      </c>
      <c r="J15" s="5" t="s">
        <v>163</v>
      </c>
      <c r="K15" s="5" t="s">
        <v>111</v>
      </c>
      <c r="L15" s="5">
        <v>3</v>
      </c>
      <c r="M15" s="5" t="s">
        <v>128</v>
      </c>
      <c r="N15" s="5" t="s">
        <v>169</v>
      </c>
      <c r="O15" s="5">
        <v>17</v>
      </c>
      <c r="P15" s="5" t="s">
        <v>149</v>
      </c>
      <c r="Q15" s="5">
        <v>6</v>
      </c>
      <c r="R15" s="5">
        <v>8</v>
      </c>
      <c r="S15" s="5" t="s">
        <v>87</v>
      </c>
      <c r="T15" s="5" t="s">
        <v>114</v>
      </c>
      <c r="U15" s="5" t="s">
        <v>86</v>
      </c>
      <c r="V15" s="5">
        <v>1420</v>
      </c>
      <c r="W15" s="5" t="s">
        <v>201</v>
      </c>
      <c r="X15" s="5" t="s">
        <v>116</v>
      </c>
      <c r="Y15" s="5" t="s">
        <v>90</v>
      </c>
      <c r="Z15" s="5" t="s">
        <v>168</v>
      </c>
      <c r="AA15" s="5" t="s">
        <v>78</v>
      </c>
      <c r="AB15" s="5" t="s">
        <v>202</v>
      </c>
      <c r="AC15" s="5" t="s">
        <v>94</v>
      </c>
      <c r="AD15" s="5" t="s">
        <v>95</v>
      </c>
      <c r="AE15" s="5" t="s">
        <v>131</v>
      </c>
      <c r="AF15" s="5" t="s">
        <v>92</v>
      </c>
      <c r="AG15" s="5" t="s">
        <v>133</v>
      </c>
      <c r="AH15" s="5" t="s">
        <v>152</v>
      </c>
      <c r="AI15" s="5" t="s">
        <v>92</v>
      </c>
      <c r="AJ15" s="5" t="s">
        <v>98</v>
      </c>
      <c r="AK15" s="5" t="s">
        <v>145</v>
      </c>
      <c r="AL15" s="5" t="s">
        <v>165</v>
      </c>
      <c r="AM15" s="5">
        <v>0</v>
      </c>
      <c r="AN15" s="5" t="s">
        <v>122</v>
      </c>
      <c r="AO15" s="5" t="s">
        <v>101</v>
      </c>
      <c r="AP15" s="5" t="s">
        <v>101</v>
      </c>
      <c r="AQ15" s="5" t="s">
        <v>101</v>
      </c>
      <c r="AR15" s="5" t="s">
        <v>101</v>
      </c>
      <c r="AS15" s="5"/>
      <c r="AT15" s="5" t="s">
        <v>103</v>
      </c>
      <c r="AU15" s="5" t="s">
        <v>104</v>
      </c>
      <c r="AV15" s="5" t="s">
        <v>104</v>
      </c>
      <c r="AW15" s="5" t="s">
        <v>101</v>
      </c>
      <c r="AX15" s="5" t="s">
        <v>106</v>
      </c>
      <c r="AY15" s="5">
        <v>8000</v>
      </c>
      <c r="AZ15" s="5">
        <v>10000</v>
      </c>
      <c r="BA15" s="5">
        <v>6000</v>
      </c>
      <c r="BB15" s="5">
        <v>6580</v>
      </c>
      <c r="BC15" s="5">
        <v>0.17699999999999999</v>
      </c>
      <c r="BD15" s="5">
        <v>0.5</v>
      </c>
      <c r="BE15" s="5">
        <v>0.85699999999999998</v>
      </c>
      <c r="BF15" s="5">
        <v>28491</v>
      </c>
      <c r="BG15" s="5">
        <v>0</v>
      </c>
      <c r="BH15" s="5">
        <v>3</v>
      </c>
      <c r="BI15" s="5">
        <v>1</v>
      </c>
      <c r="BJ15" s="5">
        <v>1</v>
      </c>
      <c r="BK15" s="5">
        <v>0</v>
      </c>
      <c r="BL15" s="5" t="s">
        <v>107</v>
      </c>
      <c r="BM15" s="5">
        <v>1</v>
      </c>
      <c r="BN15" s="5">
        <v>4.33</v>
      </c>
      <c r="BO15" s="5">
        <v>7540</v>
      </c>
      <c r="BP15" s="5">
        <v>32400</v>
      </c>
    </row>
    <row r="16" spans="1:68" x14ac:dyDescent="0.3">
      <c r="A16" s="5" t="s">
        <v>203</v>
      </c>
      <c r="B16" s="6">
        <v>46316</v>
      </c>
      <c r="C16" s="5" t="s">
        <v>75</v>
      </c>
      <c r="D16" s="5" t="s">
        <v>109</v>
      </c>
      <c r="E16" s="5" t="s">
        <v>77</v>
      </c>
      <c r="F16" s="5" t="s">
        <v>78</v>
      </c>
      <c r="G16" s="5">
        <v>10</v>
      </c>
      <c r="H16" s="5" t="s">
        <v>110</v>
      </c>
      <c r="I16" s="5" t="s">
        <v>80</v>
      </c>
      <c r="J16" s="5" t="s">
        <v>178</v>
      </c>
      <c r="K16" s="5" t="s">
        <v>82</v>
      </c>
      <c r="L16" s="5">
        <v>0</v>
      </c>
      <c r="M16" s="5" t="s">
        <v>112</v>
      </c>
      <c r="N16" s="5" t="s">
        <v>169</v>
      </c>
      <c r="O16" s="5">
        <v>36</v>
      </c>
      <c r="P16" s="5" t="s">
        <v>149</v>
      </c>
      <c r="Q16" s="5">
        <v>6</v>
      </c>
      <c r="R16" s="5">
        <v>12</v>
      </c>
      <c r="S16" s="5" t="s">
        <v>88</v>
      </c>
      <c r="T16" s="5" t="s">
        <v>140</v>
      </c>
      <c r="U16" s="5" t="s">
        <v>129</v>
      </c>
      <c r="V16" s="5">
        <v>1260</v>
      </c>
      <c r="W16" s="5" t="s">
        <v>204</v>
      </c>
      <c r="X16" s="5" t="s">
        <v>116</v>
      </c>
      <c r="Y16" s="5" t="s">
        <v>90</v>
      </c>
      <c r="Z16" s="5" t="s">
        <v>91</v>
      </c>
      <c r="AA16" s="5" t="s">
        <v>78</v>
      </c>
      <c r="AB16" s="5" t="s">
        <v>175</v>
      </c>
      <c r="AC16" s="5" t="s">
        <v>118</v>
      </c>
      <c r="AD16" s="5" t="s">
        <v>130</v>
      </c>
      <c r="AE16" s="5" t="s">
        <v>131</v>
      </c>
      <c r="AF16" s="5" t="s">
        <v>144</v>
      </c>
      <c r="AG16" s="5" t="s">
        <v>96</v>
      </c>
      <c r="AH16" s="5" t="s">
        <v>97</v>
      </c>
      <c r="AI16" s="5" t="s">
        <v>92</v>
      </c>
      <c r="AJ16" s="5" t="s">
        <v>98</v>
      </c>
      <c r="AK16" s="5" t="s">
        <v>99</v>
      </c>
      <c r="AL16" s="5" t="s">
        <v>107</v>
      </c>
      <c r="AM16" s="5">
        <v>0</v>
      </c>
      <c r="AN16" s="5" t="s">
        <v>122</v>
      </c>
      <c r="AO16" s="5" t="s">
        <v>101</v>
      </c>
      <c r="AP16" s="5" t="s">
        <v>101</v>
      </c>
      <c r="AQ16" s="5" t="s">
        <v>101</v>
      </c>
      <c r="AR16" s="5" t="s">
        <v>101</v>
      </c>
      <c r="AS16" s="5"/>
      <c r="AT16" s="5" t="s">
        <v>103</v>
      </c>
      <c r="AU16" s="5" t="s">
        <v>103</v>
      </c>
      <c r="AV16" s="5" t="s">
        <v>104</v>
      </c>
      <c r="AW16" s="5" t="s">
        <v>101</v>
      </c>
      <c r="AX16" s="5" t="s">
        <v>106</v>
      </c>
      <c r="AY16" s="5">
        <v>2750</v>
      </c>
      <c r="AZ16" s="5">
        <v>4250</v>
      </c>
      <c r="BA16" s="5">
        <v>1500</v>
      </c>
      <c r="BB16" s="5">
        <v>1490</v>
      </c>
      <c r="BC16" s="5">
        <v>0.45800000000000002</v>
      </c>
      <c r="BD16" s="5">
        <v>1</v>
      </c>
      <c r="BE16" s="5">
        <v>0.85699999999999998</v>
      </c>
      <c r="BF16" s="5">
        <v>6452</v>
      </c>
      <c r="BG16" s="5">
        <v>0</v>
      </c>
      <c r="BH16" s="5">
        <v>0.5</v>
      </c>
      <c r="BI16" s="5">
        <v>2</v>
      </c>
      <c r="BJ16" s="5">
        <v>0</v>
      </c>
      <c r="BK16" s="5">
        <v>0</v>
      </c>
      <c r="BL16" s="5" t="s">
        <v>107</v>
      </c>
      <c r="BM16" s="5">
        <v>0</v>
      </c>
      <c r="BN16" s="5">
        <v>4.67</v>
      </c>
      <c r="BO16" s="5">
        <v>2790</v>
      </c>
      <c r="BP16" s="5">
        <v>12000</v>
      </c>
    </row>
    <row r="17" spans="1:68" x14ac:dyDescent="0.3">
      <c r="A17" s="5" t="s">
        <v>205</v>
      </c>
      <c r="B17" s="6">
        <v>46316</v>
      </c>
      <c r="C17" s="5" t="s">
        <v>75</v>
      </c>
      <c r="D17" s="5" t="s">
        <v>172</v>
      </c>
      <c r="E17" s="5" t="s">
        <v>77</v>
      </c>
      <c r="F17" s="5" t="s">
        <v>78</v>
      </c>
      <c r="G17" s="5">
        <v>7</v>
      </c>
      <c r="H17" s="5" t="s">
        <v>191</v>
      </c>
      <c r="I17" s="5" t="s">
        <v>80</v>
      </c>
      <c r="J17" s="5" t="s">
        <v>163</v>
      </c>
      <c r="K17" s="5" t="s">
        <v>82</v>
      </c>
      <c r="L17" s="5">
        <v>1</v>
      </c>
      <c r="M17" s="5" t="s">
        <v>112</v>
      </c>
      <c r="N17" s="5" t="s">
        <v>84</v>
      </c>
      <c r="O17" s="5">
        <v>14</v>
      </c>
      <c r="P17" s="5" t="s">
        <v>113</v>
      </c>
      <c r="Q17" s="5">
        <v>6</v>
      </c>
      <c r="R17" s="5">
        <v>6</v>
      </c>
      <c r="S17" s="5" t="s">
        <v>88</v>
      </c>
      <c r="T17" s="5" t="s">
        <v>140</v>
      </c>
      <c r="U17" s="5" t="s">
        <v>129</v>
      </c>
      <c r="V17" s="5">
        <v>1060</v>
      </c>
      <c r="W17" s="5" t="s">
        <v>206</v>
      </c>
      <c r="X17" s="5" t="s">
        <v>89</v>
      </c>
      <c r="Y17" s="5" t="s">
        <v>90</v>
      </c>
      <c r="Z17" s="5" t="s">
        <v>91</v>
      </c>
      <c r="AA17" s="5" t="s">
        <v>92</v>
      </c>
      <c r="AB17" s="5" t="s">
        <v>93</v>
      </c>
      <c r="AC17" s="5" t="s">
        <v>118</v>
      </c>
      <c r="AD17" s="5" t="s">
        <v>130</v>
      </c>
      <c r="AE17" s="5" t="s">
        <v>84</v>
      </c>
      <c r="AF17" s="5" t="s">
        <v>92</v>
      </c>
      <c r="AG17" s="5" t="s">
        <v>133</v>
      </c>
      <c r="AH17" s="5" t="s">
        <v>120</v>
      </c>
      <c r="AI17" s="5" t="s">
        <v>78</v>
      </c>
      <c r="AJ17" s="5" t="s">
        <v>159</v>
      </c>
      <c r="AK17" s="5" t="s">
        <v>101</v>
      </c>
      <c r="AL17" s="5" t="s">
        <v>207</v>
      </c>
      <c r="AM17" s="5">
        <v>2900</v>
      </c>
      <c r="AN17" s="5" t="s">
        <v>92</v>
      </c>
      <c r="AO17" s="5" t="s">
        <v>101</v>
      </c>
      <c r="AP17" s="5" t="s">
        <v>101</v>
      </c>
      <c r="AQ17" s="5" t="s">
        <v>101</v>
      </c>
      <c r="AR17" s="5" t="s">
        <v>101</v>
      </c>
      <c r="AS17" s="5">
        <v>5</v>
      </c>
      <c r="AT17" s="5" t="s">
        <v>103</v>
      </c>
      <c r="AU17" s="5" t="s">
        <v>102</v>
      </c>
      <c r="AV17" s="5" t="s">
        <v>104</v>
      </c>
      <c r="AW17" s="5" t="s">
        <v>105</v>
      </c>
      <c r="AX17" s="5" t="s">
        <v>106</v>
      </c>
      <c r="AY17" s="5">
        <v>2750</v>
      </c>
      <c r="AZ17" s="5">
        <v>4250</v>
      </c>
      <c r="BA17" s="5">
        <v>1500</v>
      </c>
      <c r="BB17" s="5">
        <v>1690</v>
      </c>
      <c r="BC17" s="5">
        <v>0.38500000000000001</v>
      </c>
      <c r="BD17" s="5">
        <v>1</v>
      </c>
      <c r="BE17" s="5">
        <v>0.85699999999999998</v>
      </c>
      <c r="BF17" s="5">
        <v>7318</v>
      </c>
      <c r="BG17" s="5">
        <v>0.39600000000000002</v>
      </c>
      <c r="BH17" s="5">
        <v>0</v>
      </c>
      <c r="BI17" s="5">
        <v>2</v>
      </c>
      <c r="BJ17" s="5">
        <v>3</v>
      </c>
      <c r="BK17" s="5">
        <v>0</v>
      </c>
      <c r="BL17" s="5" t="s">
        <v>107</v>
      </c>
      <c r="BM17" s="5">
        <v>1</v>
      </c>
      <c r="BN17" s="5">
        <v>3.67</v>
      </c>
      <c r="BO17" s="5">
        <v>2350</v>
      </c>
      <c r="BP17" s="5">
        <v>10100</v>
      </c>
    </row>
    <row r="18" spans="1:68" x14ac:dyDescent="0.3">
      <c r="A18" s="5" t="s">
        <v>208</v>
      </c>
      <c r="B18" s="6">
        <v>46308</v>
      </c>
      <c r="C18" s="5" t="s">
        <v>209</v>
      </c>
      <c r="D18" s="5" t="s">
        <v>76</v>
      </c>
      <c r="E18" s="5" t="s">
        <v>77</v>
      </c>
      <c r="F18" s="5" t="s">
        <v>78</v>
      </c>
      <c r="G18" s="5">
        <v>9</v>
      </c>
      <c r="H18" s="5" t="s">
        <v>191</v>
      </c>
      <c r="I18" s="5" t="s">
        <v>80</v>
      </c>
      <c r="J18" s="5" t="s">
        <v>163</v>
      </c>
      <c r="K18" s="5" t="s">
        <v>82</v>
      </c>
      <c r="L18" s="5">
        <v>3</v>
      </c>
      <c r="M18" s="5" t="s">
        <v>167</v>
      </c>
      <c r="N18" s="5" t="s">
        <v>84</v>
      </c>
      <c r="O18" s="5">
        <v>7</v>
      </c>
      <c r="P18" s="5" t="s">
        <v>149</v>
      </c>
      <c r="Q18" s="5">
        <v>5</v>
      </c>
      <c r="R18" s="5">
        <v>11</v>
      </c>
      <c r="S18" s="5" t="s">
        <v>86</v>
      </c>
      <c r="T18" s="5" t="s">
        <v>86</v>
      </c>
      <c r="U18" s="5" t="s">
        <v>88</v>
      </c>
      <c r="V18" s="5">
        <v>1700</v>
      </c>
      <c r="W18" s="5"/>
      <c r="X18" s="5" t="s">
        <v>89</v>
      </c>
      <c r="Y18" s="5" t="s">
        <v>90</v>
      </c>
      <c r="Z18" s="5" t="s">
        <v>91</v>
      </c>
      <c r="AA18" s="5" t="s">
        <v>78</v>
      </c>
      <c r="AB18" s="5" t="s">
        <v>158</v>
      </c>
      <c r="AC18" s="5" t="s">
        <v>118</v>
      </c>
      <c r="AD18" s="5" t="s">
        <v>95</v>
      </c>
      <c r="AE18" s="5" t="s">
        <v>84</v>
      </c>
      <c r="AF18" s="5" t="s">
        <v>92</v>
      </c>
      <c r="AG18" s="5" t="s">
        <v>96</v>
      </c>
      <c r="AH18" s="5" t="s">
        <v>97</v>
      </c>
      <c r="AI18" s="5" t="s">
        <v>92</v>
      </c>
      <c r="AJ18" s="5" t="s">
        <v>98</v>
      </c>
      <c r="AK18" s="5" t="s">
        <v>134</v>
      </c>
      <c r="AL18" s="5" t="s">
        <v>107</v>
      </c>
      <c r="AM18" s="5">
        <v>0</v>
      </c>
      <c r="AN18" s="5" t="s">
        <v>122</v>
      </c>
      <c r="AO18" s="5" t="s">
        <v>101</v>
      </c>
      <c r="AP18" s="5" t="s">
        <v>101</v>
      </c>
      <c r="AQ18" s="5" t="s">
        <v>101</v>
      </c>
      <c r="AR18" s="5" t="s">
        <v>101</v>
      </c>
      <c r="AS18" s="5"/>
      <c r="AT18" s="5" t="s">
        <v>103</v>
      </c>
      <c r="AU18" s="5" t="s">
        <v>104</v>
      </c>
      <c r="AV18" s="5" t="s">
        <v>104</v>
      </c>
      <c r="AW18" s="5" t="s">
        <v>101</v>
      </c>
      <c r="AX18" s="5" t="s">
        <v>106</v>
      </c>
      <c r="AY18" s="5">
        <v>6000</v>
      </c>
      <c r="AZ18" s="5">
        <v>6000</v>
      </c>
      <c r="BA18" s="5">
        <v>2750</v>
      </c>
      <c r="BB18" s="5">
        <v>4300</v>
      </c>
      <c r="BC18" s="5">
        <v>0.28299999999999997</v>
      </c>
      <c r="BD18" s="5">
        <v>0.54200000000000004</v>
      </c>
      <c r="BE18" s="5">
        <v>0.71399999999999997</v>
      </c>
      <c r="BF18" s="5">
        <v>18619</v>
      </c>
      <c r="BG18" s="5">
        <v>0</v>
      </c>
      <c r="BH18" s="5">
        <v>1.5</v>
      </c>
      <c r="BI18" s="5">
        <v>0</v>
      </c>
      <c r="BJ18" s="5">
        <v>0</v>
      </c>
      <c r="BK18" s="5">
        <v>0</v>
      </c>
      <c r="BL18" s="5" t="s">
        <v>107</v>
      </c>
      <c r="BM18" s="5">
        <v>0</v>
      </c>
      <c r="BN18" s="5">
        <v>4.33</v>
      </c>
      <c r="BO18" s="5">
        <v>5040</v>
      </c>
      <c r="BP18" s="5">
        <v>21700</v>
      </c>
    </row>
    <row r="19" spans="1:68" x14ac:dyDescent="0.3">
      <c r="A19" s="5" t="s">
        <v>210</v>
      </c>
      <c r="B19" s="6">
        <v>46308</v>
      </c>
      <c r="C19" s="5" t="s">
        <v>209</v>
      </c>
      <c r="D19" s="5" t="s">
        <v>172</v>
      </c>
      <c r="E19" s="5" t="s">
        <v>77</v>
      </c>
      <c r="F19" s="5" t="s">
        <v>78</v>
      </c>
      <c r="G19" s="5">
        <v>10</v>
      </c>
      <c r="H19" s="5" t="s">
        <v>156</v>
      </c>
      <c r="I19" s="5" t="s">
        <v>80</v>
      </c>
      <c r="J19" s="5" t="s">
        <v>163</v>
      </c>
      <c r="K19" s="5" t="s">
        <v>82</v>
      </c>
      <c r="L19" s="5">
        <v>5</v>
      </c>
      <c r="M19" s="5" t="s">
        <v>173</v>
      </c>
      <c r="N19" s="5" t="s">
        <v>169</v>
      </c>
      <c r="O19" s="5">
        <v>23</v>
      </c>
      <c r="P19" s="5" t="s">
        <v>149</v>
      </c>
      <c r="Q19" s="5">
        <v>6</v>
      </c>
      <c r="R19" s="5">
        <v>12</v>
      </c>
      <c r="S19" s="5" t="s">
        <v>140</v>
      </c>
      <c r="T19" s="5" t="s">
        <v>87</v>
      </c>
      <c r="U19" s="5" t="s">
        <v>88</v>
      </c>
      <c r="V19" s="5">
        <v>1770</v>
      </c>
      <c r="W19" s="5"/>
      <c r="X19" s="5" t="s">
        <v>142</v>
      </c>
      <c r="Y19" s="5" t="s">
        <v>90</v>
      </c>
      <c r="Z19" s="5" t="s">
        <v>91</v>
      </c>
      <c r="AA19" s="5" t="s">
        <v>92</v>
      </c>
      <c r="AB19" s="5" t="s">
        <v>93</v>
      </c>
      <c r="AC19" s="5" t="s">
        <v>118</v>
      </c>
      <c r="AD19" s="5" t="s">
        <v>95</v>
      </c>
      <c r="AE19" s="5" t="s">
        <v>169</v>
      </c>
      <c r="AF19" s="5" t="s">
        <v>92</v>
      </c>
      <c r="AG19" s="5" t="s">
        <v>133</v>
      </c>
      <c r="AH19" s="5" t="s">
        <v>120</v>
      </c>
      <c r="AI19" s="5" t="s">
        <v>92</v>
      </c>
      <c r="AJ19" s="5" t="s">
        <v>98</v>
      </c>
      <c r="AK19" s="5" t="s">
        <v>211</v>
      </c>
      <c r="AL19" s="5" t="s">
        <v>107</v>
      </c>
      <c r="AM19" s="5">
        <v>0</v>
      </c>
      <c r="AN19" s="5" t="s">
        <v>122</v>
      </c>
      <c r="AO19" s="5" t="s">
        <v>101</v>
      </c>
      <c r="AP19" s="5" t="s">
        <v>101</v>
      </c>
      <c r="AQ19" s="5" t="s">
        <v>101</v>
      </c>
      <c r="AR19" s="5" t="s">
        <v>101</v>
      </c>
      <c r="AS19" s="5"/>
      <c r="AT19" s="5" t="s">
        <v>103</v>
      </c>
      <c r="AU19" s="5" t="s">
        <v>103</v>
      </c>
      <c r="AV19" s="5" t="s">
        <v>104</v>
      </c>
      <c r="AW19" s="5" t="s">
        <v>101</v>
      </c>
      <c r="AX19" s="5" t="s">
        <v>106</v>
      </c>
      <c r="AY19" s="5">
        <v>4250</v>
      </c>
      <c r="AZ19" s="5">
        <v>8000</v>
      </c>
      <c r="BA19" s="5">
        <v>2750</v>
      </c>
      <c r="BB19" s="5">
        <v>2480</v>
      </c>
      <c r="BC19" s="5">
        <v>0.41599999999999998</v>
      </c>
      <c r="BD19" s="5">
        <v>1.2350000000000001</v>
      </c>
      <c r="BE19" s="5">
        <v>0.85699999999999998</v>
      </c>
      <c r="BF19" s="5">
        <v>10738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 t="s">
        <v>107</v>
      </c>
      <c r="BM19" s="5">
        <v>1</v>
      </c>
      <c r="BN19" s="5">
        <v>4.67</v>
      </c>
      <c r="BO19" s="5">
        <v>4650</v>
      </c>
      <c r="BP19" s="5">
        <v>20000</v>
      </c>
    </row>
    <row r="20" spans="1:68" x14ac:dyDescent="0.3">
      <c r="A20" s="5" t="s">
        <v>212</v>
      </c>
      <c r="B20" s="6">
        <v>46308</v>
      </c>
      <c r="C20" s="5" t="s">
        <v>209</v>
      </c>
      <c r="D20" s="5" t="s">
        <v>76</v>
      </c>
      <c r="E20" s="5" t="s">
        <v>77</v>
      </c>
      <c r="F20" s="5" t="s">
        <v>78</v>
      </c>
      <c r="G20" s="5">
        <v>11</v>
      </c>
      <c r="H20" s="5" t="s">
        <v>156</v>
      </c>
      <c r="I20" s="5" t="s">
        <v>80</v>
      </c>
      <c r="J20" s="5" t="s">
        <v>163</v>
      </c>
      <c r="K20" s="5" t="s">
        <v>82</v>
      </c>
      <c r="L20" s="5">
        <v>4</v>
      </c>
      <c r="M20" s="5" t="s">
        <v>179</v>
      </c>
      <c r="N20" s="5" t="s">
        <v>84</v>
      </c>
      <c r="O20" s="5">
        <v>12</v>
      </c>
      <c r="P20" s="5" t="s">
        <v>85</v>
      </c>
      <c r="Q20" s="5">
        <v>6</v>
      </c>
      <c r="R20" s="5">
        <v>8</v>
      </c>
      <c r="S20" s="5" t="s">
        <v>88</v>
      </c>
      <c r="T20" s="5" t="s">
        <v>140</v>
      </c>
      <c r="U20" s="5" t="s">
        <v>129</v>
      </c>
      <c r="V20" s="5">
        <v>310</v>
      </c>
      <c r="W20" s="5" t="s">
        <v>164</v>
      </c>
      <c r="X20" s="5" t="s">
        <v>116</v>
      </c>
      <c r="Y20" s="5" t="s">
        <v>90</v>
      </c>
      <c r="Z20" s="5" t="s">
        <v>168</v>
      </c>
      <c r="AA20" s="5" t="s">
        <v>78</v>
      </c>
      <c r="AB20" s="5" t="s">
        <v>202</v>
      </c>
      <c r="AC20" s="5" t="s">
        <v>118</v>
      </c>
      <c r="AD20" s="5" t="s">
        <v>95</v>
      </c>
      <c r="AE20" s="5" t="s">
        <v>84</v>
      </c>
      <c r="AF20" s="5" t="s">
        <v>92</v>
      </c>
      <c r="AG20" s="5" t="s">
        <v>96</v>
      </c>
      <c r="AH20" s="5" t="s">
        <v>97</v>
      </c>
      <c r="AI20" s="5" t="s">
        <v>92</v>
      </c>
      <c r="AJ20" s="5" t="s">
        <v>98</v>
      </c>
      <c r="AK20" s="5" t="s">
        <v>99</v>
      </c>
      <c r="AL20" s="5" t="s">
        <v>193</v>
      </c>
      <c r="AM20" s="5">
        <v>3800</v>
      </c>
      <c r="AN20" s="5" t="s">
        <v>92</v>
      </c>
      <c r="AO20" s="5" t="s">
        <v>101</v>
      </c>
      <c r="AP20" s="5" t="s">
        <v>101</v>
      </c>
      <c r="AQ20" s="5" t="s">
        <v>101</v>
      </c>
      <c r="AR20" s="5" t="s">
        <v>101</v>
      </c>
      <c r="AS20" s="5">
        <v>4</v>
      </c>
      <c r="AT20" s="5" t="s">
        <v>104</v>
      </c>
      <c r="AU20" s="5" t="s">
        <v>103</v>
      </c>
      <c r="AV20" s="5" t="s">
        <v>104</v>
      </c>
      <c r="AW20" s="5" t="s">
        <v>101</v>
      </c>
      <c r="AX20" s="5" t="s">
        <v>106</v>
      </c>
      <c r="AY20" s="5">
        <v>2750</v>
      </c>
      <c r="AZ20" s="5">
        <v>4250</v>
      </c>
      <c r="BA20" s="5">
        <v>1500</v>
      </c>
      <c r="BB20" s="5">
        <v>2440</v>
      </c>
      <c r="BC20" s="5">
        <v>0.113</v>
      </c>
      <c r="BD20" s="5">
        <v>1</v>
      </c>
      <c r="BE20" s="5">
        <v>0.85699999999999998</v>
      </c>
      <c r="BF20" s="5">
        <v>10565</v>
      </c>
      <c r="BG20" s="5">
        <v>0.36</v>
      </c>
      <c r="BH20" s="5">
        <v>3</v>
      </c>
      <c r="BI20" s="5">
        <v>2</v>
      </c>
      <c r="BJ20" s="5">
        <v>2</v>
      </c>
      <c r="BK20" s="5">
        <v>0</v>
      </c>
      <c r="BL20" s="5" t="s">
        <v>107</v>
      </c>
      <c r="BM20" s="5">
        <v>0</v>
      </c>
      <c r="BN20" s="5">
        <v>4.33</v>
      </c>
      <c r="BO20" s="5">
        <v>3220</v>
      </c>
      <c r="BP20" s="5">
        <v>13800</v>
      </c>
    </row>
    <row r="21" spans="1:68" x14ac:dyDescent="0.3">
      <c r="A21" s="5" t="s">
        <v>213</v>
      </c>
      <c r="B21" s="6">
        <v>46308</v>
      </c>
      <c r="C21" s="5" t="s">
        <v>209</v>
      </c>
      <c r="D21" s="5" t="s">
        <v>172</v>
      </c>
      <c r="E21" s="5" t="s">
        <v>187</v>
      </c>
      <c r="F21" s="5" t="s">
        <v>78</v>
      </c>
      <c r="G21" s="5">
        <v>8</v>
      </c>
      <c r="H21" s="5" t="s">
        <v>110</v>
      </c>
      <c r="I21" s="5" t="s">
        <v>80</v>
      </c>
      <c r="J21" s="5" t="s">
        <v>163</v>
      </c>
      <c r="K21" s="5" t="s">
        <v>82</v>
      </c>
      <c r="L21" s="5">
        <v>5</v>
      </c>
      <c r="M21" s="5" t="s">
        <v>173</v>
      </c>
      <c r="N21" s="5" t="s">
        <v>84</v>
      </c>
      <c r="O21" s="5">
        <v>8</v>
      </c>
      <c r="P21" s="5" t="s">
        <v>113</v>
      </c>
      <c r="Q21" s="5">
        <v>7</v>
      </c>
      <c r="R21" s="5">
        <v>11</v>
      </c>
      <c r="S21" s="5" t="s">
        <v>86</v>
      </c>
      <c r="T21" s="5" t="s">
        <v>87</v>
      </c>
      <c r="U21" s="5" t="s">
        <v>88</v>
      </c>
      <c r="V21" s="5">
        <v>2560</v>
      </c>
      <c r="W21" s="5" t="s">
        <v>214</v>
      </c>
      <c r="X21" s="5" t="s">
        <v>116</v>
      </c>
      <c r="Y21" s="5" t="s">
        <v>117</v>
      </c>
      <c r="Z21" s="5" t="s">
        <v>91</v>
      </c>
      <c r="AA21" s="5" t="s">
        <v>92</v>
      </c>
      <c r="AB21" s="5" t="s">
        <v>93</v>
      </c>
      <c r="AC21" s="5" t="s">
        <v>215</v>
      </c>
      <c r="AD21" s="5" t="s">
        <v>130</v>
      </c>
      <c r="AE21" s="5" t="s">
        <v>169</v>
      </c>
      <c r="AF21" s="5" t="s">
        <v>132</v>
      </c>
      <c r="AG21" s="5" t="s">
        <v>181</v>
      </c>
      <c r="AH21" s="5" t="s">
        <v>120</v>
      </c>
      <c r="AI21" s="5" t="s">
        <v>78</v>
      </c>
      <c r="AJ21" s="5" t="s">
        <v>216</v>
      </c>
      <c r="AK21" s="5" t="s">
        <v>121</v>
      </c>
      <c r="AL21" s="5" t="s">
        <v>146</v>
      </c>
      <c r="AM21" s="5">
        <v>0</v>
      </c>
      <c r="AN21" s="5" t="s">
        <v>122</v>
      </c>
      <c r="AO21" s="5" t="s">
        <v>101</v>
      </c>
      <c r="AP21" s="5" t="s">
        <v>101</v>
      </c>
      <c r="AQ21" s="5" t="s">
        <v>101</v>
      </c>
      <c r="AR21" s="5" t="s">
        <v>101</v>
      </c>
      <c r="AS21" s="5"/>
      <c r="AT21" s="5" t="s">
        <v>103</v>
      </c>
      <c r="AU21" s="5" t="s">
        <v>153</v>
      </c>
      <c r="AV21" s="5" t="s">
        <v>104</v>
      </c>
      <c r="AW21" s="5" t="s">
        <v>101</v>
      </c>
      <c r="AX21" s="5" t="s">
        <v>106</v>
      </c>
      <c r="AY21" s="5">
        <v>6000</v>
      </c>
      <c r="AZ21" s="5">
        <v>8000</v>
      </c>
      <c r="BA21" s="5">
        <v>2750</v>
      </c>
      <c r="BB21" s="5">
        <v>3440</v>
      </c>
      <c r="BC21" s="5">
        <v>0.42699999999999999</v>
      </c>
      <c r="BD21" s="5">
        <v>0.875</v>
      </c>
      <c r="BE21" s="5">
        <v>1</v>
      </c>
      <c r="BF21" s="5">
        <v>14895</v>
      </c>
      <c r="BG21" s="5">
        <v>0</v>
      </c>
      <c r="BH21" s="5">
        <v>0</v>
      </c>
      <c r="BI21" s="5">
        <v>1</v>
      </c>
      <c r="BJ21" s="5">
        <v>1</v>
      </c>
      <c r="BK21" s="5">
        <v>0</v>
      </c>
      <c r="BL21" s="5" t="s">
        <v>107</v>
      </c>
      <c r="BM21" s="5">
        <v>1</v>
      </c>
      <c r="BN21" s="5">
        <v>4</v>
      </c>
      <c r="BO21" s="5">
        <v>5700</v>
      </c>
      <c r="BP21" s="5">
        <v>24500</v>
      </c>
    </row>
    <row r="22" spans="1:68" x14ac:dyDescent="0.3">
      <c r="A22" s="5" t="s">
        <v>217</v>
      </c>
      <c r="B22" s="6">
        <v>46308</v>
      </c>
      <c r="C22" s="5" t="s">
        <v>209</v>
      </c>
      <c r="D22" s="5" t="s">
        <v>218</v>
      </c>
      <c r="E22" s="5" t="s">
        <v>77</v>
      </c>
      <c r="F22" s="5" t="s">
        <v>78</v>
      </c>
      <c r="G22" s="5">
        <v>8</v>
      </c>
      <c r="H22" s="5" t="s">
        <v>156</v>
      </c>
      <c r="I22" s="5" t="s">
        <v>80</v>
      </c>
      <c r="J22" s="5" t="s">
        <v>196</v>
      </c>
      <c r="K22" s="5" t="s">
        <v>111</v>
      </c>
      <c r="L22" s="5">
        <v>2</v>
      </c>
      <c r="M22" s="5" t="s">
        <v>112</v>
      </c>
      <c r="N22" s="5" t="s">
        <v>84</v>
      </c>
      <c r="O22" s="5">
        <v>15</v>
      </c>
      <c r="P22" s="5" t="s">
        <v>113</v>
      </c>
      <c r="Q22" s="5">
        <v>7</v>
      </c>
      <c r="R22" s="5">
        <v>12</v>
      </c>
      <c r="S22" s="5" t="s">
        <v>86</v>
      </c>
      <c r="T22" s="5" t="s">
        <v>87</v>
      </c>
      <c r="U22" s="5" t="s">
        <v>88</v>
      </c>
      <c r="V22" s="5">
        <v>2340</v>
      </c>
      <c r="W22" s="5" t="s">
        <v>219</v>
      </c>
      <c r="X22" s="5" t="s">
        <v>116</v>
      </c>
      <c r="Y22" s="5" t="s">
        <v>117</v>
      </c>
      <c r="Z22" s="5" t="s">
        <v>168</v>
      </c>
      <c r="AA22" s="5" t="s">
        <v>92</v>
      </c>
      <c r="AB22" s="5" t="s">
        <v>93</v>
      </c>
      <c r="AC22" s="5" t="s">
        <v>118</v>
      </c>
      <c r="AD22" s="5" t="s">
        <v>95</v>
      </c>
      <c r="AE22" s="5" t="s">
        <v>169</v>
      </c>
      <c r="AF22" s="5" t="s">
        <v>144</v>
      </c>
      <c r="AG22" s="5" t="s">
        <v>96</v>
      </c>
      <c r="AH22" s="5" t="s">
        <v>97</v>
      </c>
      <c r="AI22" s="5" t="s">
        <v>92</v>
      </c>
      <c r="AJ22" s="5" t="s">
        <v>98</v>
      </c>
      <c r="AK22" s="5" t="s">
        <v>99</v>
      </c>
      <c r="AL22" s="5" t="s">
        <v>176</v>
      </c>
      <c r="AM22" s="5">
        <v>1500</v>
      </c>
      <c r="AN22" s="5" t="s">
        <v>92</v>
      </c>
      <c r="AO22" s="5" t="s">
        <v>101</v>
      </c>
      <c r="AP22" s="5" t="s">
        <v>101</v>
      </c>
      <c r="AQ22" s="5" t="s">
        <v>101</v>
      </c>
      <c r="AR22" s="5" t="s">
        <v>101</v>
      </c>
      <c r="AS22" s="5"/>
      <c r="AT22" s="5" t="s">
        <v>220</v>
      </c>
      <c r="AU22" s="5" t="s">
        <v>103</v>
      </c>
      <c r="AV22" s="5" t="s">
        <v>104</v>
      </c>
      <c r="AW22" s="5" t="s">
        <v>160</v>
      </c>
      <c r="AX22" s="5" t="s">
        <v>106</v>
      </c>
      <c r="AY22" s="5">
        <v>6000</v>
      </c>
      <c r="AZ22" s="5">
        <v>8000</v>
      </c>
      <c r="BA22" s="5">
        <v>2750</v>
      </c>
      <c r="BB22" s="5">
        <v>3660</v>
      </c>
      <c r="BC22" s="5">
        <v>0.39</v>
      </c>
      <c r="BD22" s="5">
        <v>0.875</v>
      </c>
      <c r="BE22" s="5">
        <v>1</v>
      </c>
      <c r="BF22" s="5">
        <v>15848</v>
      </c>
      <c r="BG22" s="5">
        <v>9.5000000000000001E-2</v>
      </c>
      <c r="BH22" s="5">
        <v>0</v>
      </c>
      <c r="BI22" s="5">
        <v>3</v>
      </c>
      <c r="BJ22" s="5">
        <v>1</v>
      </c>
      <c r="BK22" s="5">
        <v>0</v>
      </c>
      <c r="BL22" s="5" t="s">
        <v>107</v>
      </c>
      <c r="BM22" s="5">
        <v>0</v>
      </c>
      <c r="BN22" s="5">
        <v>3.33</v>
      </c>
      <c r="BO22" s="5">
        <v>6140</v>
      </c>
      <c r="BP22" s="5">
        <v>26400</v>
      </c>
    </row>
    <row r="23" spans="1:68" x14ac:dyDescent="0.3">
      <c r="A23" s="5" t="s">
        <v>221</v>
      </c>
      <c r="B23" s="6">
        <v>46308</v>
      </c>
      <c r="C23" s="5" t="s">
        <v>209</v>
      </c>
      <c r="D23" s="5" t="s">
        <v>109</v>
      </c>
      <c r="E23" s="5" t="s">
        <v>77</v>
      </c>
      <c r="F23" s="5" t="s">
        <v>78</v>
      </c>
      <c r="G23" s="5">
        <v>11</v>
      </c>
      <c r="H23" s="5" t="s">
        <v>110</v>
      </c>
      <c r="I23" s="5" t="s">
        <v>80</v>
      </c>
      <c r="J23" s="5" t="s">
        <v>196</v>
      </c>
      <c r="K23" s="5" t="s">
        <v>127</v>
      </c>
      <c r="L23" s="5">
        <v>6</v>
      </c>
      <c r="M23" s="5" t="s">
        <v>173</v>
      </c>
      <c r="N23" s="5" t="s">
        <v>131</v>
      </c>
      <c r="O23" s="5">
        <v>20</v>
      </c>
      <c r="P23" s="5" t="s">
        <v>149</v>
      </c>
      <c r="Q23" s="5">
        <v>7</v>
      </c>
      <c r="R23" s="5">
        <v>7</v>
      </c>
      <c r="S23" s="5" t="s">
        <v>86</v>
      </c>
      <c r="T23" s="5" t="s">
        <v>114</v>
      </c>
      <c r="U23" s="5" t="s">
        <v>88</v>
      </c>
      <c r="V23" s="5">
        <v>1950</v>
      </c>
      <c r="W23" s="5"/>
      <c r="X23" s="5" t="s">
        <v>142</v>
      </c>
      <c r="Y23" s="5" t="s">
        <v>151</v>
      </c>
      <c r="Z23" s="5" t="s">
        <v>143</v>
      </c>
      <c r="AA23" s="5" t="s">
        <v>92</v>
      </c>
      <c r="AB23" s="5" t="s">
        <v>93</v>
      </c>
      <c r="AC23" s="5" t="s">
        <v>118</v>
      </c>
      <c r="AD23" s="5" t="s">
        <v>95</v>
      </c>
      <c r="AE23" s="5" t="s">
        <v>169</v>
      </c>
      <c r="AF23" s="5" t="s">
        <v>144</v>
      </c>
      <c r="AG23" s="5" t="s">
        <v>96</v>
      </c>
      <c r="AH23" s="5" t="s">
        <v>152</v>
      </c>
      <c r="AI23" s="5" t="s">
        <v>92</v>
      </c>
      <c r="AJ23" s="5" t="s">
        <v>98</v>
      </c>
      <c r="AK23" s="5" t="s">
        <v>145</v>
      </c>
      <c r="AL23" s="5" t="s">
        <v>146</v>
      </c>
      <c r="AM23" s="5">
        <v>0</v>
      </c>
      <c r="AN23" s="5" t="s">
        <v>122</v>
      </c>
      <c r="AO23" s="5" t="s">
        <v>101</v>
      </c>
      <c r="AP23" s="5" t="s">
        <v>101</v>
      </c>
      <c r="AQ23" s="5" t="s">
        <v>101</v>
      </c>
      <c r="AR23" s="5" t="s">
        <v>101</v>
      </c>
      <c r="AS23" s="5"/>
      <c r="AT23" s="5" t="s">
        <v>104</v>
      </c>
      <c r="AU23" s="5" t="s">
        <v>153</v>
      </c>
      <c r="AV23" s="5" t="s">
        <v>104</v>
      </c>
      <c r="AW23" s="5" t="s">
        <v>101</v>
      </c>
      <c r="AX23" s="5" t="s">
        <v>106</v>
      </c>
      <c r="AY23" s="5">
        <v>6000</v>
      </c>
      <c r="AZ23" s="5">
        <v>10000</v>
      </c>
      <c r="BA23" s="5">
        <v>2750</v>
      </c>
      <c r="BB23" s="5">
        <v>4050</v>
      </c>
      <c r="BC23" s="5">
        <v>0.32500000000000001</v>
      </c>
      <c r="BD23" s="5">
        <v>1.208</v>
      </c>
      <c r="BE23" s="5">
        <v>1</v>
      </c>
      <c r="BF23" s="5">
        <v>17536</v>
      </c>
      <c r="BG23" s="5">
        <v>0</v>
      </c>
      <c r="BH23" s="5">
        <v>0</v>
      </c>
      <c r="BI23" s="5">
        <v>0</v>
      </c>
      <c r="BJ23" s="5">
        <v>1</v>
      </c>
      <c r="BK23" s="5">
        <v>0</v>
      </c>
      <c r="BL23" s="5" t="s">
        <v>107</v>
      </c>
      <c r="BM23" s="5">
        <v>1</v>
      </c>
      <c r="BN23" s="5">
        <v>3.67</v>
      </c>
      <c r="BO23" s="5">
        <v>6780</v>
      </c>
      <c r="BP23" s="5">
        <v>29200</v>
      </c>
    </row>
    <row r="24" spans="1:68" x14ac:dyDescent="0.3">
      <c r="A24" s="5" t="s">
        <v>222</v>
      </c>
      <c r="B24" s="6">
        <v>46308</v>
      </c>
      <c r="C24" s="5" t="s">
        <v>209</v>
      </c>
      <c r="D24" s="5" t="s">
        <v>76</v>
      </c>
      <c r="E24" s="5" t="s">
        <v>77</v>
      </c>
      <c r="F24" s="5" t="s">
        <v>78</v>
      </c>
      <c r="G24" s="5">
        <v>7</v>
      </c>
      <c r="H24" s="5" t="s">
        <v>110</v>
      </c>
      <c r="I24" s="5" t="s">
        <v>80</v>
      </c>
      <c r="J24" s="5" t="s">
        <v>81</v>
      </c>
      <c r="K24" s="5" t="s">
        <v>82</v>
      </c>
      <c r="L24" s="5">
        <v>3</v>
      </c>
      <c r="M24" s="5" t="s">
        <v>179</v>
      </c>
      <c r="N24" s="5" t="s">
        <v>84</v>
      </c>
      <c r="O24" s="5">
        <v>13</v>
      </c>
      <c r="P24" s="5" t="s">
        <v>85</v>
      </c>
      <c r="Q24" s="5">
        <v>7</v>
      </c>
      <c r="R24" s="5">
        <v>11</v>
      </c>
      <c r="S24" s="5" t="s">
        <v>86</v>
      </c>
      <c r="T24" s="5" t="s">
        <v>114</v>
      </c>
      <c r="U24" s="5" t="s">
        <v>88</v>
      </c>
      <c r="V24" s="5">
        <v>2020</v>
      </c>
      <c r="W24" s="5" t="s">
        <v>157</v>
      </c>
      <c r="X24" s="5" t="s">
        <v>89</v>
      </c>
      <c r="Y24" s="5" t="s">
        <v>90</v>
      </c>
      <c r="Z24" s="5" t="s">
        <v>168</v>
      </c>
      <c r="AA24" s="5" t="s">
        <v>92</v>
      </c>
      <c r="AB24" s="5" t="s">
        <v>93</v>
      </c>
      <c r="AC24" s="5" t="s">
        <v>118</v>
      </c>
      <c r="AD24" s="5" t="s">
        <v>95</v>
      </c>
      <c r="AE24" s="5" t="s">
        <v>84</v>
      </c>
      <c r="AF24" s="5" t="s">
        <v>92</v>
      </c>
      <c r="AG24" s="5" t="s">
        <v>96</v>
      </c>
      <c r="AH24" s="5" t="s">
        <v>120</v>
      </c>
      <c r="AI24" s="5" t="s">
        <v>92</v>
      </c>
      <c r="AJ24" s="5" t="s">
        <v>98</v>
      </c>
      <c r="AK24" s="5" t="s">
        <v>145</v>
      </c>
      <c r="AL24" s="5" t="s">
        <v>199</v>
      </c>
      <c r="AM24" s="5">
        <v>3700</v>
      </c>
      <c r="AN24" s="5" t="s">
        <v>78</v>
      </c>
      <c r="AO24" s="5" t="s">
        <v>223</v>
      </c>
      <c r="AP24" s="5" t="s">
        <v>184</v>
      </c>
      <c r="AQ24" s="5" t="s">
        <v>92</v>
      </c>
      <c r="AR24" s="5" t="s">
        <v>78</v>
      </c>
      <c r="AS24" s="5"/>
      <c r="AT24" s="5" t="s">
        <v>103</v>
      </c>
      <c r="AU24" s="5" t="s">
        <v>104</v>
      </c>
      <c r="AV24" s="5" t="s">
        <v>103</v>
      </c>
      <c r="AW24" s="5" t="s">
        <v>101</v>
      </c>
      <c r="AX24" s="5" t="s">
        <v>106</v>
      </c>
      <c r="AY24" s="5">
        <v>6000</v>
      </c>
      <c r="AZ24" s="5">
        <v>10000</v>
      </c>
      <c r="BA24" s="5">
        <v>2750</v>
      </c>
      <c r="BB24" s="5">
        <v>3980</v>
      </c>
      <c r="BC24" s="5">
        <v>0.33700000000000002</v>
      </c>
      <c r="BD24" s="5">
        <v>1.208</v>
      </c>
      <c r="BE24" s="5">
        <v>1</v>
      </c>
      <c r="BF24" s="5">
        <v>17233</v>
      </c>
      <c r="BG24" s="5">
        <v>0.215</v>
      </c>
      <c r="BH24" s="5">
        <v>0</v>
      </c>
      <c r="BI24" s="5">
        <v>1</v>
      </c>
      <c r="BJ24" s="5">
        <v>1</v>
      </c>
      <c r="BK24" s="5">
        <v>1</v>
      </c>
      <c r="BL24" s="5" t="s">
        <v>224</v>
      </c>
      <c r="BM24" s="5">
        <v>1</v>
      </c>
      <c r="BN24" s="5">
        <v>4.67</v>
      </c>
      <c r="BO24" s="5">
        <v>6440</v>
      </c>
      <c r="BP24" s="5">
        <v>27700</v>
      </c>
    </row>
    <row r="25" spans="1:68" x14ac:dyDescent="0.3">
      <c r="A25" s="5" t="s">
        <v>225</v>
      </c>
      <c r="B25" s="6">
        <v>46316</v>
      </c>
      <c r="C25" s="5" t="s">
        <v>209</v>
      </c>
      <c r="D25" s="5" t="s">
        <v>218</v>
      </c>
      <c r="E25" s="5" t="s">
        <v>77</v>
      </c>
      <c r="F25" s="5" t="s">
        <v>78</v>
      </c>
      <c r="G25" s="5">
        <v>9</v>
      </c>
      <c r="H25" s="5" t="s">
        <v>79</v>
      </c>
      <c r="I25" s="5" t="s">
        <v>125</v>
      </c>
      <c r="J25" s="5" t="s">
        <v>196</v>
      </c>
      <c r="K25" s="5" t="s">
        <v>82</v>
      </c>
      <c r="L25" s="5">
        <v>1</v>
      </c>
      <c r="M25" s="5" t="s">
        <v>173</v>
      </c>
      <c r="N25" s="5" t="s">
        <v>84</v>
      </c>
      <c r="O25" s="5">
        <v>74</v>
      </c>
      <c r="P25" s="5" t="s">
        <v>149</v>
      </c>
      <c r="Q25" s="5">
        <v>7</v>
      </c>
      <c r="R25" s="5">
        <v>8</v>
      </c>
      <c r="S25" s="5" t="s">
        <v>86</v>
      </c>
      <c r="T25" s="5" t="s">
        <v>87</v>
      </c>
      <c r="U25" s="5" t="s">
        <v>140</v>
      </c>
      <c r="V25" s="5">
        <v>1600</v>
      </c>
      <c r="W25" s="5" t="s">
        <v>226</v>
      </c>
      <c r="X25" s="5" t="s">
        <v>116</v>
      </c>
      <c r="Y25" s="5" t="s">
        <v>90</v>
      </c>
      <c r="Z25" s="5" t="s">
        <v>143</v>
      </c>
      <c r="AA25" s="5" t="s">
        <v>92</v>
      </c>
      <c r="AB25" s="5" t="s">
        <v>93</v>
      </c>
      <c r="AC25" s="5" t="s">
        <v>94</v>
      </c>
      <c r="AD25" s="5" t="s">
        <v>95</v>
      </c>
      <c r="AE25" s="5" t="s">
        <v>84</v>
      </c>
      <c r="AF25" s="5" t="s">
        <v>144</v>
      </c>
      <c r="AG25" s="5" t="s">
        <v>96</v>
      </c>
      <c r="AH25" s="5" t="s">
        <v>120</v>
      </c>
      <c r="AI25" s="5" t="s">
        <v>78</v>
      </c>
      <c r="AJ25" s="5" t="s">
        <v>159</v>
      </c>
      <c r="AK25" s="5" t="s">
        <v>101</v>
      </c>
      <c r="AL25" s="5" t="s">
        <v>100</v>
      </c>
      <c r="AM25" s="5">
        <v>3800</v>
      </c>
      <c r="AN25" s="5" t="s">
        <v>92</v>
      </c>
      <c r="AO25" s="5" t="s">
        <v>101</v>
      </c>
      <c r="AP25" s="5" t="s">
        <v>101</v>
      </c>
      <c r="AQ25" s="5" t="s">
        <v>101</v>
      </c>
      <c r="AR25" s="5" t="s">
        <v>101</v>
      </c>
      <c r="AS25" s="5"/>
      <c r="AT25" s="5" t="s">
        <v>220</v>
      </c>
      <c r="AU25" s="5" t="s">
        <v>102</v>
      </c>
      <c r="AV25" s="5" t="s">
        <v>103</v>
      </c>
      <c r="AW25" s="5" t="s">
        <v>160</v>
      </c>
      <c r="AX25" s="5" t="s">
        <v>106</v>
      </c>
      <c r="AY25" s="5">
        <v>6000</v>
      </c>
      <c r="AZ25" s="5">
        <v>8000</v>
      </c>
      <c r="BA25" s="5">
        <v>4250</v>
      </c>
      <c r="BB25" s="5">
        <v>4400</v>
      </c>
      <c r="BC25" s="5">
        <v>0.26700000000000002</v>
      </c>
      <c r="BD25" s="5">
        <v>0.625</v>
      </c>
      <c r="BE25" s="5">
        <v>1</v>
      </c>
      <c r="BF25" s="5">
        <v>19052</v>
      </c>
      <c r="BG25" s="5">
        <v>0.19900000000000001</v>
      </c>
      <c r="BH25" s="5">
        <v>0</v>
      </c>
      <c r="BI25" s="5">
        <v>1</v>
      </c>
      <c r="BJ25" s="5">
        <v>1</v>
      </c>
      <c r="BK25" s="5">
        <v>0</v>
      </c>
      <c r="BL25" s="5" t="s">
        <v>107</v>
      </c>
      <c r="BM25" s="5">
        <v>1</v>
      </c>
      <c r="BN25" s="5">
        <v>2.67</v>
      </c>
      <c r="BO25" s="5">
        <v>6660</v>
      </c>
      <c r="BP25" s="5">
        <v>28600</v>
      </c>
    </row>
    <row r="26" spans="1:68" x14ac:dyDescent="0.3">
      <c r="A26" s="5" t="s">
        <v>227</v>
      </c>
      <c r="B26" s="6">
        <v>46308</v>
      </c>
      <c r="C26" s="5" t="s">
        <v>209</v>
      </c>
      <c r="D26" s="5" t="s">
        <v>172</v>
      </c>
      <c r="E26" s="5" t="s">
        <v>228</v>
      </c>
      <c r="F26" s="5" t="s">
        <v>78</v>
      </c>
      <c r="G26" s="5">
        <v>8</v>
      </c>
      <c r="H26" s="5" t="s">
        <v>191</v>
      </c>
      <c r="I26" s="5" t="s">
        <v>80</v>
      </c>
      <c r="J26" s="5" t="s">
        <v>178</v>
      </c>
      <c r="K26" s="5" t="s">
        <v>82</v>
      </c>
      <c r="L26" s="5">
        <v>1</v>
      </c>
      <c r="M26" s="5" t="s">
        <v>173</v>
      </c>
      <c r="N26" s="5" t="s">
        <v>169</v>
      </c>
      <c r="O26" s="5">
        <v>16</v>
      </c>
      <c r="P26" s="5" t="s">
        <v>149</v>
      </c>
      <c r="Q26" s="5">
        <v>7</v>
      </c>
      <c r="R26" s="5">
        <v>10</v>
      </c>
      <c r="S26" s="5" t="s">
        <v>87</v>
      </c>
      <c r="T26" s="5" t="s">
        <v>114</v>
      </c>
      <c r="U26" s="5" t="s">
        <v>140</v>
      </c>
      <c r="V26" s="5">
        <v>1800</v>
      </c>
      <c r="W26" s="5"/>
      <c r="X26" s="5" t="s">
        <v>116</v>
      </c>
      <c r="Y26" s="5" t="s">
        <v>90</v>
      </c>
      <c r="Z26" s="5" t="s">
        <v>91</v>
      </c>
      <c r="AA26" s="5" t="s">
        <v>92</v>
      </c>
      <c r="AB26" s="5" t="s">
        <v>93</v>
      </c>
      <c r="AC26" s="5" t="s">
        <v>118</v>
      </c>
      <c r="AD26" s="5" t="s">
        <v>95</v>
      </c>
      <c r="AE26" s="5" t="s">
        <v>169</v>
      </c>
      <c r="AF26" s="5" t="s">
        <v>144</v>
      </c>
      <c r="AG26" s="5" t="s">
        <v>181</v>
      </c>
      <c r="AH26" s="5" t="s">
        <v>152</v>
      </c>
      <c r="AI26" s="5" t="s">
        <v>92</v>
      </c>
      <c r="AJ26" s="5" t="s">
        <v>98</v>
      </c>
      <c r="AK26" s="5" t="s">
        <v>229</v>
      </c>
      <c r="AL26" s="5" t="s">
        <v>107</v>
      </c>
      <c r="AM26" s="5">
        <v>0</v>
      </c>
      <c r="AN26" s="5" t="s">
        <v>122</v>
      </c>
      <c r="AO26" s="5" t="s">
        <v>101</v>
      </c>
      <c r="AP26" s="5" t="s">
        <v>101</v>
      </c>
      <c r="AQ26" s="5" t="s">
        <v>101</v>
      </c>
      <c r="AR26" s="5" t="s">
        <v>101</v>
      </c>
      <c r="AS26" s="5"/>
      <c r="AT26" s="5" t="s">
        <v>104</v>
      </c>
      <c r="AU26" s="5" t="s">
        <v>220</v>
      </c>
      <c r="AV26" s="5" t="s">
        <v>104</v>
      </c>
      <c r="AW26" s="5" t="s">
        <v>105</v>
      </c>
      <c r="AX26" s="5" t="s">
        <v>106</v>
      </c>
      <c r="AY26" s="5">
        <v>8000</v>
      </c>
      <c r="AZ26" s="5">
        <v>10000</v>
      </c>
      <c r="BA26" s="5">
        <v>4250</v>
      </c>
      <c r="BB26" s="5">
        <v>6200</v>
      </c>
      <c r="BC26" s="5">
        <v>0.22500000000000001</v>
      </c>
      <c r="BD26" s="5">
        <v>0.71899999999999997</v>
      </c>
      <c r="BE26" s="5">
        <v>1</v>
      </c>
      <c r="BF26" s="5">
        <v>26846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 t="s">
        <v>107</v>
      </c>
      <c r="BM26" s="5">
        <v>1</v>
      </c>
      <c r="BN26" s="5">
        <v>3</v>
      </c>
      <c r="BO26" s="5">
        <v>7010</v>
      </c>
      <c r="BP26" s="5">
        <v>30100</v>
      </c>
    </row>
    <row r="27" spans="1:68" x14ac:dyDescent="0.3">
      <c r="A27" s="5" t="s">
        <v>230</v>
      </c>
      <c r="B27" s="6">
        <v>46308</v>
      </c>
      <c r="C27" s="5" t="s">
        <v>209</v>
      </c>
      <c r="D27" s="5" t="s">
        <v>76</v>
      </c>
      <c r="E27" s="5" t="s">
        <v>138</v>
      </c>
      <c r="F27" s="5" t="s">
        <v>78</v>
      </c>
      <c r="G27" s="5">
        <v>8</v>
      </c>
      <c r="H27" s="5" t="s">
        <v>79</v>
      </c>
      <c r="I27" s="5" t="s">
        <v>80</v>
      </c>
      <c r="J27" s="5" t="s">
        <v>126</v>
      </c>
      <c r="K27" s="5" t="s">
        <v>127</v>
      </c>
      <c r="L27" s="5">
        <v>1</v>
      </c>
      <c r="M27" s="5" t="s">
        <v>83</v>
      </c>
      <c r="N27" s="5" t="s">
        <v>84</v>
      </c>
      <c r="O27" s="5">
        <v>13</v>
      </c>
      <c r="P27" s="5" t="s">
        <v>113</v>
      </c>
      <c r="Q27" s="5">
        <v>4</v>
      </c>
      <c r="R27" s="5">
        <v>14</v>
      </c>
      <c r="S27" s="5" t="s">
        <v>86</v>
      </c>
      <c r="T27" s="5" t="s">
        <v>87</v>
      </c>
      <c r="U27" s="5" t="s">
        <v>140</v>
      </c>
      <c r="V27" s="5">
        <v>340</v>
      </c>
      <c r="W27" s="5" t="s">
        <v>231</v>
      </c>
      <c r="X27" s="5" t="s">
        <v>116</v>
      </c>
      <c r="Y27" s="5" t="s">
        <v>90</v>
      </c>
      <c r="Z27" s="5" t="s">
        <v>91</v>
      </c>
      <c r="AA27" s="5" t="s">
        <v>78</v>
      </c>
      <c r="AB27" s="5" t="s">
        <v>202</v>
      </c>
      <c r="AC27" s="5" t="s">
        <v>118</v>
      </c>
      <c r="AD27" s="5" t="s">
        <v>95</v>
      </c>
      <c r="AE27" s="5" t="s">
        <v>84</v>
      </c>
      <c r="AF27" s="5" t="s">
        <v>132</v>
      </c>
      <c r="AG27" s="5" t="s">
        <v>133</v>
      </c>
      <c r="AH27" s="5" t="s">
        <v>97</v>
      </c>
      <c r="AI27" s="5" t="s">
        <v>78</v>
      </c>
      <c r="AJ27" s="5" t="s">
        <v>159</v>
      </c>
      <c r="AK27" s="5" t="s">
        <v>101</v>
      </c>
      <c r="AL27" s="5" t="s">
        <v>170</v>
      </c>
      <c r="AM27" s="5">
        <v>2100</v>
      </c>
      <c r="AN27" s="5" t="s">
        <v>92</v>
      </c>
      <c r="AO27" s="5" t="s">
        <v>101</v>
      </c>
      <c r="AP27" s="5" t="s">
        <v>101</v>
      </c>
      <c r="AQ27" s="5" t="s">
        <v>101</v>
      </c>
      <c r="AR27" s="5" t="s">
        <v>101</v>
      </c>
      <c r="AS27" s="5"/>
      <c r="AT27" s="5" t="s">
        <v>102</v>
      </c>
      <c r="AU27" s="5" t="s">
        <v>153</v>
      </c>
      <c r="AV27" s="5" t="s">
        <v>104</v>
      </c>
      <c r="AW27" s="5" t="s">
        <v>147</v>
      </c>
      <c r="AX27" s="5" t="s">
        <v>106</v>
      </c>
      <c r="AY27" s="5">
        <v>6000</v>
      </c>
      <c r="AZ27" s="5">
        <v>8000</v>
      </c>
      <c r="BA27" s="5">
        <v>4250</v>
      </c>
      <c r="BB27" s="5">
        <v>5660</v>
      </c>
      <c r="BC27" s="5">
        <v>5.7000000000000002E-2</v>
      </c>
      <c r="BD27" s="5">
        <v>0.625</v>
      </c>
      <c r="BE27" s="5">
        <v>0.57099999999999995</v>
      </c>
      <c r="BF27" s="5">
        <v>24508</v>
      </c>
      <c r="BG27" s="5">
        <v>8.5999999999999993E-2</v>
      </c>
      <c r="BH27" s="5">
        <v>3</v>
      </c>
      <c r="BI27" s="5">
        <v>3</v>
      </c>
      <c r="BJ27" s="5">
        <v>2</v>
      </c>
      <c r="BK27" s="5">
        <v>0</v>
      </c>
      <c r="BL27" s="5" t="s">
        <v>107</v>
      </c>
      <c r="BM27" s="5">
        <v>0</v>
      </c>
      <c r="BN27" s="5">
        <v>3</v>
      </c>
      <c r="BO27" s="5">
        <v>5900</v>
      </c>
      <c r="BP27" s="5">
        <v>25400</v>
      </c>
    </row>
    <row r="28" spans="1:68" x14ac:dyDescent="0.3">
      <c r="A28" s="5" t="s">
        <v>232</v>
      </c>
      <c r="B28" s="6">
        <v>46316</v>
      </c>
      <c r="C28" s="5" t="s">
        <v>209</v>
      </c>
      <c r="D28" s="5" t="s">
        <v>162</v>
      </c>
      <c r="E28" s="5" t="s">
        <v>138</v>
      </c>
      <c r="F28" s="5" t="s">
        <v>78</v>
      </c>
      <c r="G28" s="5">
        <v>7</v>
      </c>
      <c r="H28" s="5" t="s">
        <v>79</v>
      </c>
      <c r="I28" s="5" t="s">
        <v>80</v>
      </c>
      <c r="J28" s="5" t="s">
        <v>81</v>
      </c>
      <c r="K28" s="5" t="s">
        <v>111</v>
      </c>
      <c r="L28" s="5">
        <v>3</v>
      </c>
      <c r="M28" s="5" t="s">
        <v>179</v>
      </c>
      <c r="N28" s="5" t="s">
        <v>84</v>
      </c>
      <c r="O28" s="5">
        <v>27</v>
      </c>
      <c r="P28" s="5" t="s">
        <v>85</v>
      </c>
      <c r="Q28" s="5">
        <v>7</v>
      </c>
      <c r="R28" s="5">
        <v>14</v>
      </c>
      <c r="S28" s="5" t="s">
        <v>86</v>
      </c>
      <c r="T28" s="5" t="s">
        <v>114</v>
      </c>
      <c r="U28" s="5" t="s">
        <v>88</v>
      </c>
      <c r="V28" s="5">
        <v>2880</v>
      </c>
      <c r="W28" s="5" t="s">
        <v>233</v>
      </c>
      <c r="X28" s="5" t="s">
        <v>116</v>
      </c>
      <c r="Y28" s="5" t="s">
        <v>117</v>
      </c>
      <c r="Z28" s="5" t="s">
        <v>91</v>
      </c>
      <c r="AA28" s="5" t="s">
        <v>78</v>
      </c>
      <c r="AB28" s="5" t="s">
        <v>158</v>
      </c>
      <c r="AC28" s="5" t="s">
        <v>118</v>
      </c>
      <c r="AD28" s="5" t="s">
        <v>95</v>
      </c>
      <c r="AE28" s="5" t="s">
        <v>169</v>
      </c>
      <c r="AF28" s="5" t="s">
        <v>132</v>
      </c>
      <c r="AG28" s="5" t="s">
        <v>133</v>
      </c>
      <c r="AH28" s="5" t="s">
        <v>120</v>
      </c>
      <c r="AI28" s="5" t="s">
        <v>92</v>
      </c>
      <c r="AJ28" s="5" t="s">
        <v>98</v>
      </c>
      <c r="AK28" s="5" t="s">
        <v>99</v>
      </c>
      <c r="AL28" s="5" t="s">
        <v>199</v>
      </c>
      <c r="AM28" s="5">
        <v>2100</v>
      </c>
      <c r="AN28" s="5" t="s">
        <v>92</v>
      </c>
      <c r="AO28" s="5" t="s">
        <v>101</v>
      </c>
      <c r="AP28" s="5" t="s">
        <v>101</v>
      </c>
      <c r="AQ28" s="5" t="s">
        <v>101</v>
      </c>
      <c r="AR28" s="5" t="s">
        <v>101</v>
      </c>
      <c r="AS28" s="5"/>
      <c r="AT28" s="5" t="s">
        <v>103</v>
      </c>
      <c r="AU28" s="5" t="s">
        <v>153</v>
      </c>
      <c r="AV28" s="5" t="s">
        <v>103</v>
      </c>
      <c r="AW28" s="5" t="s">
        <v>101</v>
      </c>
      <c r="AX28" s="5" t="s">
        <v>106</v>
      </c>
      <c r="AY28" s="5">
        <v>6000</v>
      </c>
      <c r="AZ28" s="5">
        <v>10000</v>
      </c>
      <c r="BA28" s="5">
        <v>2750</v>
      </c>
      <c r="BB28" s="5">
        <v>3120</v>
      </c>
      <c r="BC28" s="5">
        <v>0.48</v>
      </c>
      <c r="BD28" s="5">
        <v>1.208</v>
      </c>
      <c r="BE28" s="5">
        <v>1</v>
      </c>
      <c r="BF28" s="5">
        <v>13510</v>
      </c>
      <c r="BG28" s="5">
        <v>0.155</v>
      </c>
      <c r="BH28" s="5">
        <v>1.5</v>
      </c>
      <c r="BI28" s="5">
        <v>1</v>
      </c>
      <c r="BJ28" s="5">
        <v>1</v>
      </c>
      <c r="BK28" s="5">
        <v>0</v>
      </c>
      <c r="BL28" s="5" t="s">
        <v>107</v>
      </c>
      <c r="BM28" s="5">
        <v>1</v>
      </c>
      <c r="BN28" s="5">
        <v>4.33</v>
      </c>
      <c r="BO28" s="5">
        <v>6390</v>
      </c>
      <c r="BP28" s="5">
        <v>27500</v>
      </c>
    </row>
    <row r="29" spans="1:68" x14ac:dyDescent="0.3">
      <c r="A29" s="5" t="s">
        <v>234</v>
      </c>
      <c r="B29" s="6">
        <v>46308</v>
      </c>
      <c r="C29" s="5" t="s">
        <v>209</v>
      </c>
      <c r="D29" s="5" t="s">
        <v>76</v>
      </c>
      <c r="E29" s="5" t="s">
        <v>77</v>
      </c>
      <c r="F29" s="5" t="s">
        <v>78</v>
      </c>
      <c r="G29" s="5">
        <v>8</v>
      </c>
      <c r="H29" s="5" t="s">
        <v>156</v>
      </c>
      <c r="I29" s="5" t="s">
        <v>80</v>
      </c>
      <c r="J29" s="5" t="s">
        <v>163</v>
      </c>
      <c r="K29" s="5" t="s">
        <v>111</v>
      </c>
      <c r="L29" s="5">
        <v>1</v>
      </c>
      <c r="M29" s="5" t="s">
        <v>179</v>
      </c>
      <c r="N29" s="5" t="s">
        <v>131</v>
      </c>
      <c r="O29" s="5">
        <v>17</v>
      </c>
      <c r="P29" s="5" t="s">
        <v>149</v>
      </c>
      <c r="Q29" s="5">
        <v>7</v>
      </c>
      <c r="R29" s="5">
        <v>10</v>
      </c>
      <c r="S29" s="5" t="s">
        <v>86</v>
      </c>
      <c r="T29" s="5" t="s">
        <v>87</v>
      </c>
      <c r="U29" s="5" t="s">
        <v>140</v>
      </c>
      <c r="V29" s="5">
        <v>1740</v>
      </c>
      <c r="W29" s="5" t="s">
        <v>235</v>
      </c>
      <c r="X29" s="5" t="s">
        <v>116</v>
      </c>
      <c r="Y29" s="5" t="s">
        <v>90</v>
      </c>
      <c r="Z29" s="5" t="s">
        <v>91</v>
      </c>
      <c r="AA29" s="5" t="s">
        <v>92</v>
      </c>
      <c r="AB29" s="5" t="s">
        <v>93</v>
      </c>
      <c r="AC29" s="5" t="s">
        <v>118</v>
      </c>
      <c r="AD29" s="5" t="s">
        <v>95</v>
      </c>
      <c r="AE29" s="5" t="s">
        <v>169</v>
      </c>
      <c r="AF29" s="5" t="s">
        <v>132</v>
      </c>
      <c r="AG29" s="5" t="s">
        <v>133</v>
      </c>
      <c r="AH29" s="5" t="s">
        <v>97</v>
      </c>
      <c r="AI29" s="5" t="s">
        <v>92</v>
      </c>
      <c r="AJ29" s="5" t="s">
        <v>98</v>
      </c>
      <c r="AK29" s="5" t="s">
        <v>99</v>
      </c>
      <c r="AL29" s="5" t="s">
        <v>107</v>
      </c>
      <c r="AM29" s="5">
        <v>0</v>
      </c>
      <c r="AN29" s="5" t="s">
        <v>122</v>
      </c>
      <c r="AO29" s="5" t="s">
        <v>101</v>
      </c>
      <c r="AP29" s="5" t="s">
        <v>101</v>
      </c>
      <c r="AQ29" s="5" t="s">
        <v>101</v>
      </c>
      <c r="AR29" s="5" t="s">
        <v>101</v>
      </c>
      <c r="AS29" s="5"/>
      <c r="AT29" s="5" t="s">
        <v>103</v>
      </c>
      <c r="AU29" s="5" t="s">
        <v>103</v>
      </c>
      <c r="AV29" s="5" t="s">
        <v>103</v>
      </c>
      <c r="AW29" s="5" t="s">
        <v>101</v>
      </c>
      <c r="AX29" s="5" t="s">
        <v>106</v>
      </c>
      <c r="AY29" s="5">
        <v>6000</v>
      </c>
      <c r="AZ29" s="5">
        <v>8000</v>
      </c>
      <c r="BA29" s="5">
        <v>4250</v>
      </c>
      <c r="BB29" s="5">
        <v>4260</v>
      </c>
      <c r="BC29" s="5">
        <v>0.28999999999999998</v>
      </c>
      <c r="BD29" s="5">
        <v>0.625</v>
      </c>
      <c r="BE29" s="5">
        <v>1</v>
      </c>
      <c r="BF29" s="5">
        <v>18446</v>
      </c>
      <c r="BG29" s="5">
        <v>0</v>
      </c>
      <c r="BH29" s="5">
        <v>0</v>
      </c>
      <c r="BI29" s="5">
        <v>2</v>
      </c>
      <c r="BJ29" s="5">
        <v>0</v>
      </c>
      <c r="BK29" s="5">
        <v>0</v>
      </c>
      <c r="BL29" s="5" t="s">
        <v>107</v>
      </c>
      <c r="BM29" s="5">
        <v>0</v>
      </c>
      <c r="BN29" s="5">
        <v>5</v>
      </c>
      <c r="BO29" s="5">
        <v>5780</v>
      </c>
      <c r="BP29" s="5">
        <v>24900</v>
      </c>
    </row>
    <row r="30" spans="1:68" x14ac:dyDescent="0.3">
      <c r="A30" s="5" t="s">
        <v>236</v>
      </c>
      <c r="B30" s="6">
        <v>46309</v>
      </c>
      <c r="C30" s="5" t="s">
        <v>237</v>
      </c>
      <c r="D30" s="5" t="s">
        <v>109</v>
      </c>
      <c r="E30" s="5" t="s">
        <v>77</v>
      </c>
      <c r="F30" s="5" t="s">
        <v>78</v>
      </c>
      <c r="G30" s="5">
        <v>10</v>
      </c>
      <c r="H30" s="5" t="s">
        <v>156</v>
      </c>
      <c r="I30" s="5" t="s">
        <v>80</v>
      </c>
      <c r="J30" s="5" t="s">
        <v>196</v>
      </c>
      <c r="K30" s="5" t="s">
        <v>82</v>
      </c>
      <c r="L30" s="5">
        <v>6</v>
      </c>
      <c r="M30" s="5" t="s">
        <v>173</v>
      </c>
      <c r="N30" s="5" t="s">
        <v>84</v>
      </c>
      <c r="O30" s="5">
        <v>14</v>
      </c>
      <c r="P30" s="5" t="s">
        <v>198</v>
      </c>
      <c r="Q30" s="5">
        <v>7</v>
      </c>
      <c r="R30" s="5">
        <v>9</v>
      </c>
      <c r="S30" s="5" t="s">
        <v>86</v>
      </c>
      <c r="T30" s="5" t="s">
        <v>87</v>
      </c>
      <c r="U30" s="5" t="s">
        <v>140</v>
      </c>
      <c r="V30" s="5">
        <v>60</v>
      </c>
      <c r="W30" s="5" t="s">
        <v>235</v>
      </c>
      <c r="X30" s="5" t="s">
        <v>142</v>
      </c>
      <c r="Y30" s="5" t="s">
        <v>117</v>
      </c>
      <c r="Z30" s="5" t="s">
        <v>91</v>
      </c>
      <c r="AA30" s="5" t="s">
        <v>78</v>
      </c>
      <c r="AB30" s="5" t="s">
        <v>175</v>
      </c>
      <c r="AC30" s="5" t="s">
        <v>118</v>
      </c>
      <c r="AD30" s="5" t="s">
        <v>95</v>
      </c>
      <c r="AE30" s="5" t="s">
        <v>84</v>
      </c>
      <c r="AF30" s="5" t="s">
        <v>92</v>
      </c>
      <c r="AG30" s="5" t="s">
        <v>181</v>
      </c>
      <c r="AH30" s="5" t="s">
        <v>152</v>
      </c>
      <c r="AI30" s="5" t="s">
        <v>92</v>
      </c>
      <c r="AJ30" s="5" t="s">
        <v>98</v>
      </c>
      <c r="AK30" s="5" t="s">
        <v>211</v>
      </c>
      <c r="AL30" s="5" t="s">
        <v>107</v>
      </c>
      <c r="AM30" s="5">
        <v>0</v>
      </c>
      <c r="AN30" s="5" t="s">
        <v>122</v>
      </c>
      <c r="AO30" s="5" t="s">
        <v>101</v>
      </c>
      <c r="AP30" s="5" t="s">
        <v>101</v>
      </c>
      <c r="AQ30" s="5" t="s">
        <v>101</v>
      </c>
      <c r="AR30" s="5" t="s">
        <v>101</v>
      </c>
      <c r="AS30" s="5"/>
      <c r="AT30" s="5" t="s">
        <v>104</v>
      </c>
      <c r="AU30" s="5" t="s">
        <v>104</v>
      </c>
      <c r="AV30" s="5" t="s">
        <v>103</v>
      </c>
      <c r="AW30" s="5" t="s">
        <v>101</v>
      </c>
      <c r="AX30" s="5" t="s">
        <v>106</v>
      </c>
      <c r="AY30" s="5">
        <v>6000</v>
      </c>
      <c r="AZ30" s="5">
        <v>8000</v>
      </c>
      <c r="BA30" s="5">
        <v>4250</v>
      </c>
      <c r="BB30" s="5">
        <v>5940</v>
      </c>
      <c r="BC30" s="5">
        <v>0.01</v>
      </c>
      <c r="BD30" s="5">
        <v>0.625</v>
      </c>
      <c r="BE30" s="5">
        <v>1</v>
      </c>
      <c r="BF30" s="5">
        <v>25720</v>
      </c>
      <c r="BG30" s="5">
        <v>0</v>
      </c>
      <c r="BH30" s="5">
        <v>0.5</v>
      </c>
      <c r="BI30" s="5">
        <v>2</v>
      </c>
      <c r="BJ30" s="5">
        <v>0</v>
      </c>
      <c r="BK30" s="5">
        <v>0</v>
      </c>
      <c r="BL30" s="5" t="s">
        <v>107</v>
      </c>
      <c r="BM30" s="5">
        <v>1</v>
      </c>
      <c r="BN30" s="5">
        <v>4.33</v>
      </c>
      <c r="BO30" s="5">
        <v>5640</v>
      </c>
      <c r="BP30" s="5">
        <v>24200</v>
      </c>
    </row>
    <row r="31" spans="1:68" x14ac:dyDescent="0.3">
      <c r="A31" s="5" t="s">
        <v>238</v>
      </c>
      <c r="B31" s="6">
        <v>46309</v>
      </c>
      <c r="C31" s="5" t="s">
        <v>237</v>
      </c>
      <c r="D31" s="5" t="s">
        <v>172</v>
      </c>
      <c r="E31" s="5" t="s">
        <v>77</v>
      </c>
      <c r="F31" s="5" t="s">
        <v>78</v>
      </c>
      <c r="G31" s="5">
        <v>11</v>
      </c>
      <c r="H31" s="5" t="s">
        <v>110</v>
      </c>
      <c r="I31" s="5" t="s">
        <v>80</v>
      </c>
      <c r="J31" s="5" t="s">
        <v>81</v>
      </c>
      <c r="K31" s="5" t="s">
        <v>127</v>
      </c>
      <c r="L31" s="5">
        <v>6</v>
      </c>
      <c r="M31" s="5" t="s">
        <v>112</v>
      </c>
      <c r="N31" s="5" t="s">
        <v>84</v>
      </c>
      <c r="O31" s="5">
        <v>34</v>
      </c>
      <c r="P31" s="5" t="s">
        <v>113</v>
      </c>
      <c r="Q31" s="5">
        <v>5</v>
      </c>
      <c r="R31" s="5">
        <v>13</v>
      </c>
      <c r="S31" s="5" t="s">
        <v>87</v>
      </c>
      <c r="T31" s="5" t="s">
        <v>114</v>
      </c>
      <c r="U31" s="5" t="s">
        <v>140</v>
      </c>
      <c r="V31" s="5">
        <v>2480</v>
      </c>
      <c r="W31" s="5" t="s">
        <v>174</v>
      </c>
      <c r="X31" s="5" t="s">
        <v>142</v>
      </c>
      <c r="Y31" s="5" t="s">
        <v>90</v>
      </c>
      <c r="Z31" s="5" t="s">
        <v>91</v>
      </c>
      <c r="AA31" s="5" t="s">
        <v>92</v>
      </c>
      <c r="AB31" s="5" t="s">
        <v>93</v>
      </c>
      <c r="AC31" s="5" t="s">
        <v>94</v>
      </c>
      <c r="AD31" s="5" t="s">
        <v>130</v>
      </c>
      <c r="AE31" s="5" t="s">
        <v>84</v>
      </c>
      <c r="AF31" s="5" t="s">
        <v>132</v>
      </c>
      <c r="AG31" s="5" t="s">
        <v>96</v>
      </c>
      <c r="AH31" s="5" t="s">
        <v>120</v>
      </c>
      <c r="AI31" s="5" t="s">
        <v>92</v>
      </c>
      <c r="AJ31" s="5" t="s">
        <v>98</v>
      </c>
      <c r="AK31" s="5" t="s">
        <v>99</v>
      </c>
      <c r="AL31" s="5" t="s">
        <v>107</v>
      </c>
      <c r="AM31" s="5">
        <v>0</v>
      </c>
      <c r="AN31" s="5" t="s">
        <v>122</v>
      </c>
      <c r="AO31" s="5" t="s">
        <v>101</v>
      </c>
      <c r="AP31" s="5" t="s">
        <v>101</v>
      </c>
      <c r="AQ31" s="5" t="s">
        <v>101</v>
      </c>
      <c r="AR31" s="5" t="s">
        <v>101</v>
      </c>
      <c r="AS31" s="5"/>
      <c r="AT31" s="5" t="s">
        <v>220</v>
      </c>
      <c r="AU31" s="5" t="s">
        <v>153</v>
      </c>
      <c r="AV31" s="5" t="s">
        <v>103</v>
      </c>
      <c r="AW31" s="5" t="s">
        <v>160</v>
      </c>
      <c r="AX31" s="5" t="s">
        <v>106</v>
      </c>
      <c r="AY31" s="5">
        <v>8000</v>
      </c>
      <c r="AZ31" s="5">
        <v>10000</v>
      </c>
      <c r="BA31" s="5">
        <v>4250</v>
      </c>
      <c r="BB31" s="5">
        <v>5520</v>
      </c>
      <c r="BC31" s="5">
        <v>0.31</v>
      </c>
      <c r="BD31" s="5">
        <v>0.71899999999999997</v>
      </c>
      <c r="BE31" s="5">
        <v>0.71399999999999997</v>
      </c>
      <c r="BF31" s="5">
        <v>23902</v>
      </c>
      <c r="BG31" s="5">
        <v>0</v>
      </c>
      <c r="BH31" s="5">
        <v>0</v>
      </c>
      <c r="BI31" s="5">
        <v>3</v>
      </c>
      <c r="BJ31" s="5">
        <v>0</v>
      </c>
      <c r="BK31" s="5">
        <v>0</v>
      </c>
      <c r="BL31" s="5" t="s">
        <v>107</v>
      </c>
      <c r="BM31" s="5">
        <v>1</v>
      </c>
      <c r="BN31" s="5">
        <v>3</v>
      </c>
      <c r="BO31" s="5">
        <v>7160</v>
      </c>
      <c r="BP31" s="5">
        <v>30800</v>
      </c>
    </row>
    <row r="32" spans="1:68" x14ac:dyDescent="0.3">
      <c r="A32" s="5" t="s">
        <v>239</v>
      </c>
      <c r="B32" s="6">
        <v>46309</v>
      </c>
      <c r="C32" s="5" t="s">
        <v>237</v>
      </c>
      <c r="D32" s="5" t="s">
        <v>172</v>
      </c>
      <c r="E32" s="5" t="s">
        <v>228</v>
      </c>
      <c r="F32" s="5" t="s">
        <v>78</v>
      </c>
      <c r="G32" s="5">
        <v>8</v>
      </c>
      <c r="H32" s="5" t="s">
        <v>156</v>
      </c>
      <c r="I32" s="5" t="s">
        <v>80</v>
      </c>
      <c r="J32" s="5" t="s">
        <v>81</v>
      </c>
      <c r="K32" s="5" t="s">
        <v>111</v>
      </c>
      <c r="L32" s="5">
        <v>3</v>
      </c>
      <c r="M32" s="5" t="s">
        <v>173</v>
      </c>
      <c r="N32" s="5" t="s">
        <v>84</v>
      </c>
      <c r="O32" s="5">
        <v>13</v>
      </c>
      <c r="P32" s="5" t="s">
        <v>113</v>
      </c>
      <c r="Q32" s="5">
        <v>5</v>
      </c>
      <c r="R32" s="5">
        <v>11</v>
      </c>
      <c r="S32" s="5" t="s">
        <v>88</v>
      </c>
      <c r="T32" s="5" t="s">
        <v>86</v>
      </c>
      <c r="U32" s="5" t="s">
        <v>88</v>
      </c>
      <c r="V32" s="5">
        <v>1380</v>
      </c>
      <c r="W32" s="5" t="s">
        <v>219</v>
      </c>
      <c r="X32" s="5" t="s">
        <v>142</v>
      </c>
      <c r="Y32" s="5" t="s">
        <v>117</v>
      </c>
      <c r="Z32" s="5" t="s">
        <v>143</v>
      </c>
      <c r="AA32" s="5" t="s">
        <v>92</v>
      </c>
      <c r="AB32" s="5" t="s">
        <v>93</v>
      </c>
      <c r="AC32" s="5" t="s">
        <v>118</v>
      </c>
      <c r="AD32" s="5" t="s">
        <v>95</v>
      </c>
      <c r="AE32" s="5" t="s">
        <v>169</v>
      </c>
      <c r="AF32" s="5" t="s">
        <v>144</v>
      </c>
      <c r="AG32" s="5" t="s">
        <v>181</v>
      </c>
      <c r="AH32" s="5" t="s">
        <v>152</v>
      </c>
      <c r="AI32" s="5" t="s">
        <v>78</v>
      </c>
      <c r="AJ32" s="5" t="s">
        <v>159</v>
      </c>
      <c r="AK32" s="5" t="s">
        <v>101</v>
      </c>
      <c r="AL32" s="5" t="s">
        <v>199</v>
      </c>
      <c r="AM32" s="5">
        <v>3600</v>
      </c>
      <c r="AN32" s="5" t="s">
        <v>92</v>
      </c>
      <c r="AO32" s="5" t="s">
        <v>101</v>
      </c>
      <c r="AP32" s="5" t="s">
        <v>101</v>
      </c>
      <c r="AQ32" s="5" t="s">
        <v>101</v>
      </c>
      <c r="AR32" s="5" t="s">
        <v>101</v>
      </c>
      <c r="AS32" s="5"/>
      <c r="AT32" s="5" t="s">
        <v>103</v>
      </c>
      <c r="AU32" s="5" t="s">
        <v>104</v>
      </c>
      <c r="AV32" s="5" t="s">
        <v>104</v>
      </c>
      <c r="AW32" s="5" t="s">
        <v>101</v>
      </c>
      <c r="AX32" s="5" t="s">
        <v>106</v>
      </c>
      <c r="AY32" s="5">
        <v>2750</v>
      </c>
      <c r="AZ32" s="5">
        <v>6000</v>
      </c>
      <c r="BA32" s="5">
        <v>2750</v>
      </c>
      <c r="BB32" s="5">
        <v>1370</v>
      </c>
      <c r="BC32" s="5">
        <v>0.502</v>
      </c>
      <c r="BD32" s="5">
        <v>1.1819999999999999</v>
      </c>
      <c r="BE32" s="5">
        <v>0.71399999999999997</v>
      </c>
      <c r="BF32" s="5">
        <v>5932</v>
      </c>
      <c r="BG32" s="5">
        <v>0.60699999999999998</v>
      </c>
      <c r="BH32" s="5">
        <v>0</v>
      </c>
      <c r="BI32" s="5">
        <v>3</v>
      </c>
      <c r="BJ32" s="5">
        <v>1</v>
      </c>
      <c r="BK32" s="5">
        <v>0</v>
      </c>
      <c r="BL32" s="5" t="s">
        <v>107</v>
      </c>
      <c r="BM32" s="5">
        <v>1</v>
      </c>
      <c r="BN32" s="5">
        <v>4.33</v>
      </c>
      <c r="BO32" s="5">
        <v>3220</v>
      </c>
      <c r="BP32" s="5">
        <v>13800</v>
      </c>
    </row>
    <row r="33" spans="1:68" x14ac:dyDescent="0.3">
      <c r="A33" s="5" t="s">
        <v>240</v>
      </c>
      <c r="B33" s="6">
        <v>46309</v>
      </c>
      <c r="C33" s="5" t="s">
        <v>237</v>
      </c>
      <c r="D33" s="5" t="s">
        <v>137</v>
      </c>
      <c r="E33" s="5" t="s">
        <v>77</v>
      </c>
      <c r="F33" s="5" t="s">
        <v>78</v>
      </c>
      <c r="G33" s="5">
        <v>9</v>
      </c>
      <c r="H33" s="5" t="s">
        <v>156</v>
      </c>
      <c r="I33" s="5" t="s">
        <v>80</v>
      </c>
      <c r="J33" s="5" t="s">
        <v>178</v>
      </c>
      <c r="K33" s="5" t="s">
        <v>82</v>
      </c>
      <c r="L33" s="5">
        <v>2</v>
      </c>
      <c r="M33" s="5" t="s">
        <v>197</v>
      </c>
      <c r="N33" s="5" t="s">
        <v>84</v>
      </c>
      <c r="O33" s="5">
        <v>7</v>
      </c>
      <c r="P33" s="5" t="s">
        <v>149</v>
      </c>
      <c r="Q33" s="5">
        <v>6</v>
      </c>
      <c r="R33" s="5">
        <v>11</v>
      </c>
      <c r="S33" s="5" t="s">
        <v>86</v>
      </c>
      <c r="T33" s="5" t="s">
        <v>87</v>
      </c>
      <c r="U33" s="5" t="s">
        <v>140</v>
      </c>
      <c r="V33" s="5">
        <v>500</v>
      </c>
      <c r="W33" s="5" t="s">
        <v>174</v>
      </c>
      <c r="X33" s="5" t="s">
        <v>116</v>
      </c>
      <c r="Y33" s="5" t="s">
        <v>90</v>
      </c>
      <c r="Z33" s="5" t="s">
        <v>91</v>
      </c>
      <c r="AA33" s="5" t="s">
        <v>92</v>
      </c>
      <c r="AB33" s="5" t="s">
        <v>93</v>
      </c>
      <c r="AC33" s="5" t="s">
        <v>118</v>
      </c>
      <c r="AD33" s="5" t="s">
        <v>95</v>
      </c>
      <c r="AE33" s="5" t="s">
        <v>131</v>
      </c>
      <c r="AF33" s="5" t="s">
        <v>144</v>
      </c>
      <c r="AG33" s="5" t="s">
        <v>96</v>
      </c>
      <c r="AH33" s="5" t="s">
        <v>97</v>
      </c>
      <c r="AI33" s="5" t="s">
        <v>92</v>
      </c>
      <c r="AJ33" s="5" t="s">
        <v>98</v>
      </c>
      <c r="AK33" s="5" t="s">
        <v>99</v>
      </c>
      <c r="AL33" s="5" t="s">
        <v>176</v>
      </c>
      <c r="AM33" s="5">
        <v>800</v>
      </c>
      <c r="AN33" s="5" t="s">
        <v>92</v>
      </c>
      <c r="AO33" s="5" t="s">
        <v>101</v>
      </c>
      <c r="AP33" s="5" t="s">
        <v>101</v>
      </c>
      <c r="AQ33" s="5" t="s">
        <v>101</v>
      </c>
      <c r="AR33" s="5" t="s">
        <v>101</v>
      </c>
      <c r="AS33" s="5"/>
      <c r="AT33" s="5" t="s">
        <v>104</v>
      </c>
      <c r="AU33" s="5" t="s">
        <v>104</v>
      </c>
      <c r="AV33" s="5" t="s">
        <v>102</v>
      </c>
      <c r="AW33" s="5" t="s">
        <v>147</v>
      </c>
      <c r="AX33" s="5" t="s">
        <v>106</v>
      </c>
      <c r="AY33" s="5">
        <v>6000</v>
      </c>
      <c r="AZ33" s="5">
        <v>8000</v>
      </c>
      <c r="BA33" s="5">
        <v>4250</v>
      </c>
      <c r="BB33" s="5">
        <v>5500</v>
      </c>
      <c r="BC33" s="5">
        <v>8.3000000000000004E-2</v>
      </c>
      <c r="BD33" s="5">
        <v>0.625</v>
      </c>
      <c r="BE33" s="5">
        <v>0.85699999999999998</v>
      </c>
      <c r="BF33" s="5">
        <v>23815</v>
      </c>
      <c r="BG33" s="5">
        <v>3.4000000000000002E-2</v>
      </c>
      <c r="BH33" s="5">
        <v>0</v>
      </c>
      <c r="BI33" s="5">
        <v>3</v>
      </c>
      <c r="BJ33" s="5">
        <v>1</v>
      </c>
      <c r="BK33" s="5">
        <v>0</v>
      </c>
      <c r="BL33" s="5" t="s">
        <v>107</v>
      </c>
      <c r="BM33" s="5">
        <v>0</v>
      </c>
      <c r="BN33" s="5">
        <v>3.33</v>
      </c>
      <c r="BO33" s="5">
        <v>6310</v>
      </c>
      <c r="BP33" s="5">
        <v>27100</v>
      </c>
    </row>
    <row r="34" spans="1:68" x14ac:dyDescent="0.3">
      <c r="A34" s="5" t="s">
        <v>241</v>
      </c>
      <c r="B34" s="6">
        <v>46309</v>
      </c>
      <c r="C34" s="5" t="s">
        <v>237</v>
      </c>
      <c r="D34" s="5" t="s">
        <v>76</v>
      </c>
      <c r="E34" s="5" t="s">
        <v>228</v>
      </c>
      <c r="F34" s="5" t="s">
        <v>78</v>
      </c>
      <c r="G34" s="5">
        <v>7</v>
      </c>
      <c r="H34" s="5" t="s">
        <v>110</v>
      </c>
      <c r="I34" s="5" t="s">
        <v>80</v>
      </c>
      <c r="J34" s="5" t="s">
        <v>163</v>
      </c>
      <c r="K34" s="5" t="s">
        <v>82</v>
      </c>
      <c r="L34" s="5">
        <v>4</v>
      </c>
      <c r="M34" s="5" t="s">
        <v>179</v>
      </c>
      <c r="N34" s="5" t="s">
        <v>84</v>
      </c>
      <c r="O34" s="5">
        <v>32</v>
      </c>
      <c r="P34" s="5" t="s">
        <v>113</v>
      </c>
      <c r="Q34" s="5">
        <v>6</v>
      </c>
      <c r="R34" s="5">
        <v>3</v>
      </c>
      <c r="S34" s="5" t="s">
        <v>129</v>
      </c>
      <c r="T34" s="5" t="s">
        <v>88</v>
      </c>
      <c r="U34" s="5" t="s">
        <v>129</v>
      </c>
      <c r="V34" s="5">
        <v>150</v>
      </c>
      <c r="W34" s="5"/>
      <c r="X34" s="5" t="s">
        <v>116</v>
      </c>
      <c r="Y34" s="5" t="s">
        <v>90</v>
      </c>
      <c r="Z34" s="5" t="s">
        <v>168</v>
      </c>
      <c r="AA34" s="5" t="s">
        <v>78</v>
      </c>
      <c r="AB34" s="5" t="s">
        <v>175</v>
      </c>
      <c r="AC34" s="5" t="s">
        <v>118</v>
      </c>
      <c r="AD34" s="5" t="s">
        <v>95</v>
      </c>
      <c r="AE34" s="5" t="s">
        <v>84</v>
      </c>
      <c r="AF34" s="5" t="s">
        <v>144</v>
      </c>
      <c r="AG34" s="5" t="s">
        <v>181</v>
      </c>
      <c r="AH34" s="5" t="s">
        <v>152</v>
      </c>
      <c r="AI34" s="5" t="s">
        <v>92</v>
      </c>
      <c r="AJ34" s="5" t="s">
        <v>98</v>
      </c>
      <c r="AK34" s="5" t="s">
        <v>229</v>
      </c>
      <c r="AL34" s="5" t="s">
        <v>107</v>
      </c>
      <c r="AM34" s="5">
        <v>0</v>
      </c>
      <c r="AN34" s="5" t="s">
        <v>122</v>
      </c>
      <c r="AO34" s="5" t="s">
        <v>101</v>
      </c>
      <c r="AP34" s="5" t="s">
        <v>101</v>
      </c>
      <c r="AQ34" s="5" t="s">
        <v>101</v>
      </c>
      <c r="AR34" s="5" t="s">
        <v>101</v>
      </c>
      <c r="AS34" s="5"/>
      <c r="AT34" s="5" t="s">
        <v>153</v>
      </c>
      <c r="AU34" s="5" t="s">
        <v>220</v>
      </c>
      <c r="AV34" s="5" t="s">
        <v>102</v>
      </c>
      <c r="AW34" s="5" t="s">
        <v>147</v>
      </c>
      <c r="AX34" s="5" t="s">
        <v>106</v>
      </c>
      <c r="AY34" s="5">
        <v>1500</v>
      </c>
      <c r="AZ34" s="5">
        <v>2750</v>
      </c>
      <c r="BA34" s="5">
        <v>1500</v>
      </c>
      <c r="BB34" s="5">
        <v>1350</v>
      </c>
      <c r="BC34" s="5">
        <v>0.1</v>
      </c>
      <c r="BD34" s="5">
        <v>0.83299999999999996</v>
      </c>
      <c r="BE34" s="5">
        <v>0.85699999999999998</v>
      </c>
      <c r="BF34" s="5">
        <v>5846</v>
      </c>
      <c r="BG34" s="5">
        <v>0</v>
      </c>
      <c r="BH34" s="5">
        <v>0.5</v>
      </c>
      <c r="BI34" s="5">
        <v>0</v>
      </c>
      <c r="BJ34" s="5">
        <v>0</v>
      </c>
      <c r="BK34" s="5">
        <v>0</v>
      </c>
      <c r="BL34" s="5" t="s">
        <v>107</v>
      </c>
      <c r="BM34" s="5">
        <v>1</v>
      </c>
      <c r="BN34" s="5">
        <v>2</v>
      </c>
      <c r="BO34" s="5">
        <v>1950</v>
      </c>
      <c r="BP34" s="5">
        <v>8400</v>
      </c>
    </row>
    <row r="35" spans="1:68" x14ac:dyDescent="0.3">
      <c r="A35" s="5" t="s">
        <v>242</v>
      </c>
      <c r="B35" s="6">
        <v>46309</v>
      </c>
      <c r="C35" s="5" t="s">
        <v>237</v>
      </c>
      <c r="D35" s="5" t="s">
        <v>76</v>
      </c>
      <c r="E35" s="5" t="s">
        <v>77</v>
      </c>
      <c r="F35" s="5" t="s">
        <v>78</v>
      </c>
      <c r="G35" s="5">
        <v>8</v>
      </c>
      <c r="H35" s="5" t="s">
        <v>110</v>
      </c>
      <c r="I35" s="5" t="s">
        <v>80</v>
      </c>
      <c r="J35" s="5" t="s">
        <v>163</v>
      </c>
      <c r="K35" s="5" t="s">
        <v>111</v>
      </c>
      <c r="L35" s="5">
        <v>2</v>
      </c>
      <c r="M35" s="5" t="s">
        <v>167</v>
      </c>
      <c r="N35" s="5" t="s">
        <v>84</v>
      </c>
      <c r="O35" s="5">
        <v>18</v>
      </c>
      <c r="P35" s="5" t="s">
        <v>85</v>
      </c>
      <c r="Q35" s="5">
        <v>6</v>
      </c>
      <c r="R35" s="5">
        <v>3</v>
      </c>
      <c r="S35" s="5" t="s">
        <v>88</v>
      </c>
      <c r="T35" s="5" t="s">
        <v>140</v>
      </c>
      <c r="U35" s="5" t="s">
        <v>129</v>
      </c>
      <c r="V35" s="5">
        <v>490</v>
      </c>
      <c r="W35" s="5" t="s">
        <v>201</v>
      </c>
      <c r="X35" s="5" t="s">
        <v>89</v>
      </c>
      <c r="Y35" s="5" t="s">
        <v>90</v>
      </c>
      <c r="Z35" s="5" t="s">
        <v>168</v>
      </c>
      <c r="AA35" s="5" t="s">
        <v>92</v>
      </c>
      <c r="AB35" s="5" t="s">
        <v>93</v>
      </c>
      <c r="AC35" s="5" t="s">
        <v>118</v>
      </c>
      <c r="AD35" s="5" t="s">
        <v>95</v>
      </c>
      <c r="AE35" s="5" t="s">
        <v>169</v>
      </c>
      <c r="AF35" s="5" t="s">
        <v>92</v>
      </c>
      <c r="AG35" s="5" t="s">
        <v>96</v>
      </c>
      <c r="AH35" s="5" t="s">
        <v>120</v>
      </c>
      <c r="AI35" s="5" t="s">
        <v>92</v>
      </c>
      <c r="AJ35" s="5" t="s">
        <v>98</v>
      </c>
      <c r="AK35" s="5" t="s">
        <v>229</v>
      </c>
      <c r="AL35" s="5" t="s">
        <v>100</v>
      </c>
      <c r="AM35" s="5">
        <v>2600</v>
      </c>
      <c r="AN35" s="5" t="s">
        <v>78</v>
      </c>
      <c r="AO35" s="5" t="s">
        <v>183</v>
      </c>
      <c r="AP35" s="5" t="s">
        <v>184</v>
      </c>
      <c r="AQ35" s="5" t="s">
        <v>92</v>
      </c>
      <c r="AR35" s="5" t="s">
        <v>78</v>
      </c>
      <c r="AS35" s="5"/>
      <c r="AT35" s="5" t="s">
        <v>103</v>
      </c>
      <c r="AU35" s="5" t="s">
        <v>104</v>
      </c>
      <c r="AV35" s="5" t="s">
        <v>220</v>
      </c>
      <c r="AW35" s="5" t="s">
        <v>147</v>
      </c>
      <c r="AX35" s="5" t="s">
        <v>106</v>
      </c>
      <c r="AY35" s="5">
        <v>2750</v>
      </c>
      <c r="AZ35" s="5">
        <v>4250</v>
      </c>
      <c r="BA35" s="5">
        <v>1500</v>
      </c>
      <c r="BB35" s="5">
        <v>2260</v>
      </c>
      <c r="BC35" s="5">
        <v>0.17799999999999999</v>
      </c>
      <c r="BD35" s="5">
        <v>1</v>
      </c>
      <c r="BE35" s="5">
        <v>0.85699999999999998</v>
      </c>
      <c r="BF35" s="5">
        <v>9786</v>
      </c>
      <c r="BG35" s="5">
        <v>0.26600000000000001</v>
      </c>
      <c r="BH35" s="5">
        <v>0</v>
      </c>
      <c r="BI35" s="5">
        <v>1</v>
      </c>
      <c r="BJ35" s="5">
        <v>1</v>
      </c>
      <c r="BK35" s="5">
        <v>1</v>
      </c>
      <c r="BL35" s="5" t="s">
        <v>185</v>
      </c>
      <c r="BM35" s="5">
        <v>1</v>
      </c>
      <c r="BN35" s="5">
        <v>3.33</v>
      </c>
      <c r="BO35" s="5">
        <v>2500</v>
      </c>
      <c r="BP35" s="5">
        <v>10700</v>
      </c>
    </row>
    <row r="36" spans="1:68" x14ac:dyDescent="0.3">
      <c r="A36" s="5" t="s">
        <v>243</v>
      </c>
      <c r="B36" s="6">
        <v>46309</v>
      </c>
      <c r="C36" s="5" t="s">
        <v>237</v>
      </c>
      <c r="D36" s="5" t="s">
        <v>162</v>
      </c>
      <c r="E36" s="5" t="s">
        <v>138</v>
      </c>
      <c r="F36" s="5" t="s">
        <v>78</v>
      </c>
      <c r="G36" s="5">
        <v>9</v>
      </c>
      <c r="H36" s="5" t="s">
        <v>79</v>
      </c>
      <c r="I36" s="5" t="s">
        <v>80</v>
      </c>
      <c r="J36" s="5" t="s">
        <v>178</v>
      </c>
      <c r="K36" s="5" t="s">
        <v>127</v>
      </c>
      <c r="L36" s="5">
        <v>2</v>
      </c>
      <c r="M36" s="5" t="s">
        <v>179</v>
      </c>
      <c r="N36" s="5" t="s">
        <v>84</v>
      </c>
      <c r="O36" s="5">
        <v>5</v>
      </c>
      <c r="P36" s="5" t="s">
        <v>113</v>
      </c>
      <c r="Q36" s="5">
        <v>6</v>
      </c>
      <c r="R36" s="5">
        <v>5</v>
      </c>
      <c r="S36" s="5" t="s">
        <v>88</v>
      </c>
      <c r="T36" s="5" t="s">
        <v>88</v>
      </c>
      <c r="U36" s="5" t="s">
        <v>129</v>
      </c>
      <c r="V36" s="5">
        <v>950</v>
      </c>
      <c r="W36" s="5" t="s">
        <v>235</v>
      </c>
      <c r="X36" s="5" t="s">
        <v>116</v>
      </c>
      <c r="Y36" s="5" t="s">
        <v>151</v>
      </c>
      <c r="Z36" s="5" t="s">
        <v>91</v>
      </c>
      <c r="AA36" s="5" t="s">
        <v>78</v>
      </c>
      <c r="AB36" s="5" t="s">
        <v>175</v>
      </c>
      <c r="AC36" s="5" t="s">
        <v>118</v>
      </c>
      <c r="AD36" s="5" t="s">
        <v>130</v>
      </c>
      <c r="AE36" s="5" t="s">
        <v>84</v>
      </c>
      <c r="AF36" s="5" t="s">
        <v>144</v>
      </c>
      <c r="AG36" s="5" t="s">
        <v>133</v>
      </c>
      <c r="AH36" s="5" t="s">
        <v>97</v>
      </c>
      <c r="AI36" s="5" t="s">
        <v>92</v>
      </c>
      <c r="AJ36" s="5" t="s">
        <v>98</v>
      </c>
      <c r="AK36" s="5" t="s">
        <v>99</v>
      </c>
      <c r="AL36" s="5" t="s">
        <v>176</v>
      </c>
      <c r="AM36" s="5">
        <v>1900</v>
      </c>
      <c r="AN36" s="5" t="s">
        <v>78</v>
      </c>
      <c r="AO36" s="5" t="s">
        <v>244</v>
      </c>
      <c r="AP36" s="5" t="s">
        <v>245</v>
      </c>
      <c r="AQ36" s="5" t="s">
        <v>78</v>
      </c>
      <c r="AR36" s="5" t="s">
        <v>92</v>
      </c>
      <c r="AS36" s="5"/>
      <c r="AT36" s="5" t="s">
        <v>103</v>
      </c>
      <c r="AU36" s="5" t="s">
        <v>104</v>
      </c>
      <c r="AV36" s="5" t="s">
        <v>153</v>
      </c>
      <c r="AW36" s="5" t="s">
        <v>101</v>
      </c>
      <c r="AX36" s="5" t="s">
        <v>106</v>
      </c>
      <c r="AY36" s="5">
        <v>2750</v>
      </c>
      <c r="AZ36" s="5">
        <v>2750</v>
      </c>
      <c r="BA36" s="5">
        <v>1500</v>
      </c>
      <c r="BB36" s="5">
        <v>1800</v>
      </c>
      <c r="BC36" s="5">
        <v>0.34499999999999997</v>
      </c>
      <c r="BD36" s="5">
        <v>0.45500000000000002</v>
      </c>
      <c r="BE36" s="5">
        <v>0.85699999999999998</v>
      </c>
      <c r="BF36" s="5">
        <v>7794</v>
      </c>
      <c r="BG36" s="5">
        <v>0.24399999999999999</v>
      </c>
      <c r="BH36" s="5">
        <v>0.5</v>
      </c>
      <c r="BI36" s="5">
        <v>2</v>
      </c>
      <c r="BJ36" s="5">
        <v>1</v>
      </c>
      <c r="BK36" s="5">
        <v>1</v>
      </c>
      <c r="BL36" s="5" t="s">
        <v>224</v>
      </c>
      <c r="BM36" s="5">
        <v>0</v>
      </c>
      <c r="BN36" s="5">
        <v>4</v>
      </c>
      <c r="BO36" s="5">
        <v>2120</v>
      </c>
      <c r="BP36" s="5">
        <v>9100</v>
      </c>
    </row>
    <row r="37" spans="1:68" x14ac:dyDescent="0.3">
      <c r="A37" s="5" t="s">
        <v>246</v>
      </c>
      <c r="B37" s="6">
        <v>46309</v>
      </c>
      <c r="C37" s="5" t="s">
        <v>237</v>
      </c>
      <c r="D37" s="5" t="s">
        <v>195</v>
      </c>
      <c r="E37" s="5" t="s">
        <v>77</v>
      </c>
      <c r="F37" s="5" t="s">
        <v>78</v>
      </c>
      <c r="G37" s="5">
        <v>9</v>
      </c>
      <c r="H37" s="5" t="s">
        <v>191</v>
      </c>
      <c r="I37" s="5" t="s">
        <v>80</v>
      </c>
      <c r="J37" s="5" t="s">
        <v>81</v>
      </c>
      <c r="K37" s="5" t="s">
        <v>82</v>
      </c>
      <c r="L37" s="5">
        <v>2</v>
      </c>
      <c r="M37" s="5" t="s">
        <v>139</v>
      </c>
      <c r="N37" s="5" t="s">
        <v>84</v>
      </c>
      <c r="O37" s="5">
        <v>10</v>
      </c>
      <c r="P37" s="5" t="s">
        <v>113</v>
      </c>
      <c r="Q37" s="5">
        <v>4</v>
      </c>
      <c r="R37" s="5">
        <v>7</v>
      </c>
      <c r="S37" s="5" t="s">
        <v>88</v>
      </c>
      <c r="T37" s="5" t="s">
        <v>140</v>
      </c>
      <c r="U37" s="5" t="s">
        <v>129</v>
      </c>
      <c r="V37" s="5">
        <v>270</v>
      </c>
      <c r="W37" s="5" t="s">
        <v>164</v>
      </c>
      <c r="X37" s="5" t="s">
        <v>89</v>
      </c>
      <c r="Y37" s="5" t="s">
        <v>90</v>
      </c>
      <c r="Z37" s="5" t="s">
        <v>91</v>
      </c>
      <c r="AA37" s="5" t="s">
        <v>78</v>
      </c>
      <c r="AB37" s="5" t="s">
        <v>158</v>
      </c>
      <c r="AC37" s="5" t="s">
        <v>118</v>
      </c>
      <c r="AD37" s="5" t="s">
        <v>130</v>
      </c>
      <c r="AE37" s="5" t="s">
        <v>169</v>
      </c>
      <c r="AF37" s="5" t="s">
        <v>92</v>
      </c>
      <c r="AG37" s="5" t="s">
        <v>133</v>
      </c>
      <c r="AH37" s="5" t="s">
        <v>152</v>
      </c>
      <c r="AI37" s="5" t="s">
        <v>92</v>
      </c>
      <c r="AJ37" s="5" t="s">
        <v>98</v>
      </c>
      <c r="AK37" s="5" t="s">
        <v>99</v>
      </c>
      <c r="AL37" s="5" t="s">
        <v>146</v>
      </c>
      <c r="AM37" s="5">
        <v>0</v>
      </c>
      <c r="AN37" s="5" t="s">
        <v>122</v>
      </c>
      <c r="AO37" s="5" t="s">
        <v>101</v>
      </c>
      <c r="AP37" s="5" t="s">
        <v>101</v>
      </c>
      <c r="AQ37" s="5" t="s">
        <v>101</v>
      </c>
      <c r="AR37" s="5" t="s">
        <v>101</v>
      </c>
      <c r="AS37" s="5"/>
      <c r="AT37" s="5" t="s">
        <v>220</v>
      </c>
      <c r="AU37" s="5" t="s">
        <v>102</v>
      </c>
      <c r="AV37" s="5" t="s">
        <v>153</v>
      </c>
      <c r="AW37" s="5" t="s">
        <v>135</v>
      </c>
      <c r="AX37" s="5" t="s">
        <v>106</v>
      </c>
      <c r="AY37" s="5">
        <v>2750</v>
      </c>
      <c r="AZ37" s="5">
        <v>4250</v>
      </c>
      <c r="BA37" s="5">
        <v>1500</v>
      </c>
      <c r="BB37" s="5">
        <v>2480</v>
      </c>
      <c r="BC37" s="5">
        <v>9.8000000000000004E-2</v>
      </c>
      <c r="BD37" s="5">
        <v>1</v>
      </c>
      <c r="BE37" s="5">
        <v>0.57099999999999995</v>
      </c>
      <c r="BF37" s="5">
        <v>10738</v>
      </c>
      <c r="BG37" s="5">
        <v>0</v>
      </c>
      <c r="BH37" s="5">
        <v>1.5</v>
      </c>
      <c r="BI37" s="5">
        <v>2</v>
      </c>
      <c r="BJ37" s="5">
        <v>1</v>
      </c>
      <c r="BK37" s="5">
        <v>0</v>
      </c>
      <c r="BL37" s="5" t="s">
        <v>107</v>
      </c>
      <c r="BM37" s="5">
        <v>1</v>
      </c>
      <c r="BN37" s="5">
        <v>2</v>
      </c>
      <c r="BO37" s="5">
        <v>2970</v>
      </c>
      <c r="BP37" s="5">
        <v>12800</v>
      </c>
    </row>
    <row r="38" spans="1:68" x14ac:dyDescent="0.3">
      <c r="A38" s="5" t="s">
        <v>247</v>
      </c>
      <c r="B38" s="6">
        <v>46316</v>
      </c>
      <c r="C38" s="5" t="s">
        <v>237</v>
      </c>
      <c r="D38" s="5" t="s">
        <v>76</v>
      </c>
      <c r="E38" s="5" t="s">
        <v>138</v>
      </c>
      <c r="F38" s="5" t="s">
        <v>78</v>
      </c>
      <c r="G38" s="5">
        <v>8</v>
      </c>
      <c r="H38" s="5" t="s">
        <v>156</v>
      </c>
      <c r="I38" s="5" t="s">
        <v>80</v>
      </c>
      <c r="J38" s="5" t="s">
        <v>196</v>
      </c>
      <c r="K38" s="5" t="s">
        <v>82</v>
      </c>
      <c r="L38" s="5">
        <v>2</v>
      </c>
      <c r="M38" s="5" t="s">
        <v>167</v>
      </c>
      <c r="N38" s="5" t="s">
        <v>84</v>
      </c>
      <c r="O38" s="5">
        <v>12</v>
      </c>
      <c r="P38" s="5" t="s">
        <v>85</v>
      </c>
      <c r="Q38" s="5">
        <v>4</v>
      </c>
      <c r="R38" s="5">
        <v>9</v>
      </c>
      <c r="S38" s="5" t="s">
        <v>140</v>
      </c>
      <c r="T38" s="5" t="s">
        <v>86</v>
      </c>
      <c r="U38" s="5" t="s">
        <v>129</v>
      </c>
      <c r="V38" s="5">
        <v>1220</v>
      </c>
      <c r="W38" s="5" t="s">
        <v>235</v>
      </c>
      <c r="X38" s="5" t="s">
        <v>142</v>
      </c>
      <c r="Y38" s="5" t="s">
        <v>90</v>
      </c>
      <c r="Z38" s="5" t="s">
        <v>91</v>
      </c>
      <c r="AA38" s="5" t="s">
        <v>78</v>
      </c>
      <c r="AB38" s="5" t="s">
        <v>175</v>
      </c>
      <c r="AC38" s="5" t="s">
        <v>118</v>
      </c>
      <c r="AD38" s="5" t="s">
        <v>130</v>
      </c>
      <c r="AE38" s="5" t="s">
        <v>169</v>
      </c>
      <c r="AF38" s="5" t="s">
        <v>92</v>
      </c>
      <c r="AG38" s="5" t="s">
        <v>181</v>
      </c>
      <c r="AH38" s="5" t="s">
        <v>120</v>
      </c>
      <c r="AI38" s="5" t="s">
        <v>92</v>
      </c>
      <c r="AJ38" s="5" t="s">
        <v>98</v>
      </c>
      <c r="AK38" s="5" t="s">
        <v>229</v>
      </c>
      <c r="AL38" s="5" t="s">
        <v>100</v>
      </c>
      <c r="AM38" s="5">
        <v>3600</v>
      </c>
      <c r="AN38" s="5" t="s">
        <v>92</v>
      </c>
      <c r="AO38" s="5" t="s">
        <v>101</v>
      </c>
      <c r="AP38" s="5" t="s">
        <v>101</v>
      </c>
      <c r="AQ38" s="5" t="s">
        <v>101</v>
      </c>
      <c r="AR38" s="5" t="s">
        <v>101</v>
      </c>
      <c r="AS38" s="5"/>
      <c r="AT38" s="5" t="s">
        <v>104</v>
      </c>
      <c r="AU38" s="5" t="s">
        <v>153</v>
      </c>
      <c r="AV38" s="5" t="s">
        <v>153</v>
      </c>
      <c r="AW38" s="5" t="s">
        <v>101</v>
      </c>
      <c r="AX38" s="5" t="s">
        <v>106</v>
      </c>
      <c r="AY38" s="5">
        <v>4250</v>
      </c>
      <c r="AZ38" s="5">
        <v>6000</v>
      </c>
      <c r="BA38" s="5">
        <v>1500</v>
      </c>
      <c r="BB38" s="5">
        <v>3030</v>
      </c>
      <c r="BC38" s="5">
        <v>0.28699999999999998</v>
      </c>
      <c r="BD38" s="5">
        <v>1.0589999999999999</v>
      </c>
      <c r="BE38" s="5">
        <v>0.57099999999999995</v>
      </c>
      <c r="BF38" s="5">
        <v>13120</v>
      </c>
      <c r="BG38" s="5">
        <v>0.27400000000000002</v>
      </c>
      <c r="BH38" s="5">
        <v>0.5</v>
      </c>
      <c r="BI38" s="5">
        <v>2</v>
      </c>
      <c r="BJ38" s="5">
        <v>1</v>
      </c>
      <c r="BK38" s="5">
        <v>0</v>
      </c>
      <c r="BL38" s="5" t="s">
        <v>107</v>
      </c>
      <c r="BM38" s="5">
        <v>1</v>
      </c>
      <c r="BN38" s="5">
        <v>3.33</v>
      </c>
      <c r="BO38" s="5">
        <v>3620</v>
      </c>
      <c r="BP38" s="5">
        <v>15600</v>
      </c>
    </row>
    <row r="39" spans="1:68" x14ac:dyDescent="0.3">
      <c r="A39" s="5" t="s">
        <v>248</v>
      </c>
      <c r="B39" s="6">
        <v>46309</v>
      </c>
      <c r="C39" s="5" t="s">
        <v>237</v>
      </c>
      <c r="D39" s="5" t="s">
        <v>162</v>
      </c>
      <c r="E39" s="5" t="s">
        <v>77</v>
      </c>
      <c r="F39" s="5" t="s">
        <v>78</v>
      </c>
      <c r="G39" s="5">
        <v>8</v>
      </c>
      <c r="H39" s="5" t="s">
        <v>156</v>
      </c>
      <c r="I39" s="5" t="s">
        <v>80</v>
      </c>
      <c r="J39" s="5" t="s">
        <v>126</v>
      </c>
      <c r="K39" s="5" t="s">
        <v>127</v>
      </c>
      <c r="L39" s="5">
        <v>1</v>
      </c>
      <c r="M39" s="5" t="s">
        <v>167</v>
      </c>
      <c r="N39" s="5" t="s">
        <v>169</v>
      </c>
      <c r="O39" s="5">
        <v>4</v>
      </c>
      <c r="P39" s="5" t="s">
        <v>113</v>
      </c>
      <c r="Q39" s="5">
        <v>7</v>
      </c>
      <c r="R39" s="5">
        <v>4</v>
      </c>
      <c r="S39" s="5" t="s">
        <v>88</v>
      </c>
      <c r="T39" s="5" t="s">
        <v>88</v>
      </c>
      <c r="U39" s="5" t="s">
        <v>129</v>
      </c>
      <c r="V39" s="5">
        <v>780</v>
      </c>
      <c r="W39" s="5" t="s">
        <v>249</v>
      </c>
      <c r="X39" s="5" t="s">
        <v>116</v>
      </c>
      <c r="Y39" s="5" t="s">
        <v>90</v>
      </c>
      <c r="Z39" s="5" t="s">
        <v>168</v>
      </c>
      <c r="AA39" s="5" t="s">
        <v>78</v>
      </c>
      <c r="AB39" s="5" t="s">
        <v>158</v>
      </c>
      <c r="AC39" s="5" t="s">
        <v>118</v>
      </c>
      <c r="AD39" s="5" t="s">
        <v>119</v>
      </c>
      <c r="AE39" s="5" t="s">
        <v>84</v>
      </c>
      <c r="AF39" s="5" t="s">
        <v>144</v>
      </c>
      <c r="AG39" s="5" t="s">
        <v>133</v>
      </c>
      <c r="AH39" s="5" t="s">
        <v>120</v>
      </c>
      <c r="AI39" s="5" t="s">
        <v>78</v>
      </c>
      <c r="AJ39" s="5" t="s">
        <v>216</v>
      </c>
      <c r="AK39" s="5" t="s">
        <v>121</v>
      </c>
      <c r="AL39" s="5" t="s">
        <v>107</v>
      </c>
      <c r="AM39" s="5">
        <v>0</v>
      </c>
      <c r="AN39" s="5" t="s">
        <v>122</v>
      </c>
      <c r="AO39" s="5" t="s">
        <v>101</v>
      </c>
      <c r="AP39" s="5" t="s">
        <v>101</v>
      </c>
      <c r="AQ39" s="5" t="s">
        <v>101</v>
      </c>
      <c r="AR39" s="5" t="s">
        <v>101</v>
      </c>
      <c r="AS39" s="5"/>
      <c r="AT39" s="5" t="s">
        <v>103</v>
      </c>
      <c r="AU39" s="5" t="s">
        <v>220</v>
      </c>
      <c r="AV39" s="5" t="s">
        <v>153</v>
      </c>
      <c r="AW39" s="5" t="s">
        <v>135</v>
      </c>
      <c r="AX39" s="5" t="s">
        <v>106</v>
      </c>
      <c r="AY39" s="5">
        <v>2750</v>
      </c>
      <c r="AZ39" s="5">
        <v>2750</v>
      </c>
      <c r="BA39" s="5">
        <v>1500</v>
      </c>
      <c r="BB39" s="5">
        <v>1970</v>
      </c>
      <c r="BC39" s="5">
        <v>0.28399999999999997</v>
      </c>
      <c r="BD39" s="5">
        <v>0.45500000000000002</v>
      </c>
      <c r="BE39" s="5">
        <v>1</v>
      </c>
      <c r="BF39" s="5">
        <v>8530</v>
      </c>
      <c r="BG39" s="5">
        <v>0</v>
      </c>
      <c r="BH39" s="5">
        <v>1.5</v>
      </c>
      <c r="BI39" s="5">
        <v>3</v>
      </c>
      <c r="BJ39" s="5">
        <v>0</v>
      </c>
      <c r="BK39" s="5">
        <v>0</v>
      </c>
      <c r="BL39" s="5" t="s">
        <v>107</v>
      </c>
      <c r="BM39" s="5">
        <v>1</v>
      </c>
      <c r="BN39" s="5">
        <v>3</v>
      </c>
      <c r="BO39" s="5">
        <v>2200</v>
      </c>
      <c r="BP39" s="5">
        <v>9500</v>
      </c>
    </row>
    <row r="40" spans="1:68" x14ac:dyDescent="0.3">
      <c r="A40" s="5" t="s">
        <v>250</v>
      </c>
      <c r="B40" s="6">
        <v>46309</v>
      </c>
      <c r="C40" s="5" t="s">
        <v>237</v>
      </c>
      <c r="D40" s="5" t="s">
        <v>109</v>
      </c>
      <c r="E40" s="5" t="s">
        <v>187</v>
      </c>
      <c r="F40" s="5" t="s">
        <v>78</v>
      </c>
      <c r="G40" s="5">
        <v>8</v>
      </c>
      <c r="H40" s="5" t="s">
        <v>191</v>
      </c>
      <c r="I40" s="5" t="s">
        <v>80</v>
      </c>
      <c r="J40" s="5" t="s">
        <v>196</v>
      </c>
      <c r="K40" s="5" t="s">
        <v>127</v>
      </c>
      <c r="L40" s="5">
        <v>2</v>
      </c>
      <c r="M40" s="5" t="s">
        <v>112</v>
      </c>
      <c r="N40" s="5" t="s">
        <v>169</v>
      </c>
      <c r="O40" s="5">
        <v>12</v>
      </c>
      <c r="P40" s="5" t="s">
        <v>85</v>
      </c>
      <c r="Q40" s="5">
        <v>7</v>
      </c>
      <c r="R40" s="5">
        <v>7</v>
      </c>
      <c r="S40" s="5" t="s">
        <v>88</v>
      </c>
      <c r="T40" s="5" t="s">
        <v>140</v>
      </c>
      <c r="U40" s="5" t="s">
        <v>88</v>
      </c>
      <c r="V40" s="5">
        <v>1330</v>
      </c>
      <c r="W40" s="5" t="s">
        <v>206</v>
      </c>
      <c r="X40" s="5" t="s">
        <v>116</v>
      </c>
      <c r="Y40" s="5" t="s">
        <v>90</v>
      </c>
      <c r="Z40" s="5" t="s">
        <v>91</v>
      </c>
      <c r="AA40" s="5" t="s">
        <v>92</v>
      </c>
      <c r="AB40" s="5" t="s">
        <v>93</v>
      </c>
      <c r="AC40" s="5" t="s">
        <v>118</v>
      </c>
      <c r="AD40" s="5" t="s">
        <v>95</v>
      </c>
      <c r="AE40" s="5" t="s">
        <v>84</v>
      </c>
      <c r="AF40" s="5" t="s">
        <v>144</v>
      </c>
      <c r="AG40" s="5" t="s">
        <v>133</v>
      </c>
      <c r="AH40" s="5" t="s">
        <v>97</v>
      </c>
      <c r="AI40" s="5" t="s">
        <v>92</v>
      </c>
      <c r="AJ40" s="5" t="s">
        <v>98</v>
      </c>
      <c r="AK40" s="5" t="s">
        <v>145</v>
      </c>
      <c r="AL40" s="5" t="s">
        <v>193</v>
      </c>
      <c r="AM40" s="5">
        <v>3700</v>
      </c>
      <c r="AN40" s="5" t="s">
        <v>92</v>
      </c>
      <c r="AO40" s="5" t="s">
        <v>101</v>
      </c>
      <c r="AP40" s="5" t="s">
        <v>101</v>
      </c>
      <c r="AQ40" s="5" t="s">
        <v>101</v>
      </c>
      <c r="AR40" s="5" t="s">
        <v>101</v>
      </c>
      <c r="AS40" s="5">
        <v>5</v>
      </c>
      <c r="AT40" s="5" t="s">
        <v>104</v>
      </c>
      <c r="AU40" s="5" t="s">
        <v>103</v>
      </c>
      <c r="AV40" s="5" t="s">
        <v>103</v>
      </c>
      <c r="AW40" s="5" t="s">
        <v>101</v>
      </c>
      <c r="AX40" s="5" t="s">
        <v>106</v>
      </c>
      <c r="AY40" s="5">
        <v>2750</v>
      </c>
      <c r="AZ40" s="5">
        <v>4250</v>
      </c>
      <c r="BA40" s="5">
        <v>2750</v>
      </c>
      <c r="BB40" s="5">
        <v>1420</v>
      </c>
      <c r="BC40" s="5">
        <v>0.48399999999999999</v>
      </c>
      <c r="BD40" s="5">
        <v>0.54500000000000004</v>
      </c>
      <c r="BE40" s="5">
        <v>1</v>
      </c>
      <c r="BF40" s="5">
        <v>6149</v>
      </c>
      <c r="BG40" s="5">
        <v>0.60199999999999998</v>
      </c>
      <c r="BH40" s="5">
        <v>0</v>
      </c>
      <c r="BI40" s="5">
        <v>2</v>
      </c>
      <c r="BJ40" s="5">
        <v>2</v>
      </c>
      <c r="BK40" s="5">
        <v>0</v>
      </c>
      <c r="BL40" s="5" t="s">
        <v>107</v>
      </c>
      <c r="BM40" s="5">
        <v>0</v>
      </c>
      <c r="BN40" s="5">
        <v>4.67</v>
      </c>
      <c r="BO40" s="5">
        <v>2960</v>
      </c>
      <c r="BP40" s="5">
        <v>12700</v>
      </c>
    </row>
    <row r="41" spans="1:68" x14ac:dyDescent="0.3">
      <c r="A41" s="5" t="s">
        <v>251</v>
      </c>
      <c r="B41" s="6">
        <v>46309</v>
      </c>
      <c r="C41" s="5" t="s">
        <v>237</v>
      </c>
      <c r="D41" s="5" t="s">
        <v>155</v>
      </c>
      <c r="E41" s="5" t="s">
        <v>138</v>
      </c>
      <c r="F41" s="5" t="s">
        <v>78</v>
      </c>
      <c r="G41" s="5">
        <v>10</v>
      </c>
      <c r="H41" s="5" t="s">
        <v>156</v>
      </c>
      <c r="I41" s="5" t="s">
        <v>80</v>
      </c>
      <c r="J41" s="5" t="s">
        <v>178</v>
      </c>
      <c r="K41" s="5" t="s">
        <v>82</v>
      </c>
      <c r="L41" s="5">
        <v>0</v>
      </c>
      <c r="M41" s="5" t="s">
        <v>128</v>
      </c>
      <c r="N41" s="5" t="s">
        <v>84</v>
      </c>
      <c r="O41" s="5">
        <v>35</v>
      </c>
      <c r="P41" s="5" t="s">
        <v>113</v>
      </c>
      <c r="Q41" s="5">
        <v>4</v>
      </c>
      <c r="R41" s="5">
        <v>14</v>
      </c>
      <c r="S41" s="5" t="s">
        <v>114</v>
      </c>
      <c r="T41" s="5" t="s">
        <v>114</v>
      </c>
      <c r="U41" s="5" t="s">
        <v>86</v>
      </c>
      <c r="V41" s="5">
        <v>340</v>
      </c>
      <c r="W41" s="5" t="s">
        <v>252</v>
      </c>
      <c r="X41" s="5" t="s">
        <v>116</v>
      </c>
      <c r="Y41" s="5" t="s">
        <v>90</v>
      </c>
      <c r="Z41" s="5" t="s">
        <v>168</v>
      </c>
      <c r="AA41" s="5" t="s">
        <v>78</v>
      </c>
      <c r="AB41" s="5" t="s">
        <v>158</v>
      </c>
      <c r="AC41" s="5" t="s">
        <v>118</v>
      </c>
      <c r="AD41" s="5" t="s">
        <v>119</v>
      </c>
      <c r="AE41" s="5" t="s">
        <v>169</v>
      </c>
      <c r="AF41" s="5" t="s">
        <v>92</v>
      </c>
      <c r="AG41" s="5" t="s">
        <v>181</v>
      </c>
      <c r="AH41" s="5" t="s">
        <v>97</v>
      </c>
      <c r="AI41" s="5" t="s">
        <v>92</v>
      </c>
      <c r="AJ41" s="5" t="s">
        <v>98</v>
      </c>
      <c r="AK41" s="5" t="s">
        <v>99</v>
      </c>
      <c r="AL41" s="5" t="s">
        <v>107</v>
      </c>
      <c r="AM41" s="5">
        <v>0</v>
      </c>
      <c r="AN41" s="5" t="s">
        <v>122</v>
      </c>
      <c r="AO41" s="5" t="s">
        <v>101</v>
      </c>
      <c r="AP41" s="5" t="s">
        <v>101</v>
      </c>
      <c r="AQ41" s="5" t="s">
        <v>101</v>
      </c>
      <c r="AR41" s="5" t="s">
        <v>101</v>
      </c>
      <c r="AS41" s="5"/>
      <c r="AT41" s="5" t="s">
        <v>153</v>
      </c>
      <c r="AU41" s="5" t="s">
        <v>103</v>
      </c>
      <c r="AV41" s="5" t="s">
        <v>103</v>
      </c>
      <c r="AW41" s="5" t="s">
        <v>101</v>
      </c>
      <c r="AX41" s="5" t="s">
        <v>106</v>
      </c>
      <c r="AY41" s="5">
        <v>10000</v>
      </c>
      <c r="AZ41" s="5">
        <v>10000</v>
      </c>
      <c r="BA41" s="5">
        <v>6000</v>
      </c>
      <c r="BB41" s="5">
        <v>9660</v>
      </c>
      <c r="BC41" s="5">
        <v>3.4000000000000002E-2</v>
      </c>
      <c r="BD41" s="5">
        <v>0.4</v>
      </c>
      <c r="BE41" s="5">
        <v>0.57099999999999995</v>
      </c>
      <c r="BF41" s="5">
        <v>41828</v>
      </c>
      <c r="BG41" s="5">
        <v>0</v>
      </c>
      <c r="BH41" s="5">
        <v>1.5</v>
      </c>
      <c r="BI41" s="5">
        <v>3</v>
      </c>
      <c r="BJ41" s="5">
        <v>0</v>
      </c>
      <c r="BK41" s="5">
        <v>0</v>
      </c>
      <c r="BL41" s="5" t="s">
        <v>107</v>
      </c>
      <c r="BM41" s="5">
        <v>0</v>
      </c>
      <c r="BN41" s="5">
        <v>4.33</v>
      </c>
      <c r="BO41" s="5">
        <v>9880</v>
      </c>
      <c r="BP41" s="5">
        <v>42500</v>
      </c>
    </row>
    <row r="42" spans="1:68" x14ac:dyDescent="0.3">
      <c r="A42" s="5" t="s">
        <v>253</v>
      </c>
      <c r="B42" s="6">
        <v>46310</v>
      </c>
      <c r="C42" s="5" t="s">
        <v>254</v>
      </c>
      <c r="D42" s="5" t="s">
        <v>76</v>
      </c>
      <c r="E42" s="5" t="s">
        <v>77</v>
      </c>
      <c r="F42" s="5" t="s">
        <v>78</v>
      </c>
      <c r="G42" s="5">
        <v>7</v>
      </c>
      <c r="H42" s="5" t="s">
        <v>79</v>
      </c>
      <c r="I42" s="5" t="s">
        <v>80</v>
      </c>
      <c r="J42" s="5" t="s">
        <v>178</v>
      </c>
      <c r="K42" s="5" t="s">
        <v>82</v>
      </c>
      <c r="L42" s="5">
        <v>0</v>
      </c>
      <c r="M42" s="5" t="s">
        <v>179</v>
      </c>
      <c r="N42" s="5" t="s">
        <v>169</v>
      </c>
      <c r="O42" s="5">
        <v>25</v>
      </c>
      <c r="P42" s="5" t="s">
        <v>149</v>
      </c>
      <c r="Q42" s="5">
        <v>7</v>
      </c>
      <c r="R42" s="5">
        <v>5</v>
      </c>
      <c r="S42" s="5" t="s">
        <v>88</v>
      </c>
      <c r="T42" s="5" t="s">
        <v>140</v>
      </c>
      <c r="U42" s="5" t="s">
        <v>129</v>
      </c>
      <c r="V42" s="5">
        <v>1160</v>
      </c>
      <c r="W42" s="5" t="s">
        <v>206</v>
      </c>
      <c r="X42" s="5" t="s">
        <v>116</v>
      </c>
      <c r="Y42" s="5" t="s">
        <v>117</v>
      </c>
      <c r="Z42" s="5" t="s">
        <v>168</v>
      </c>
      <c r="AA42" s="5" t="s">
        <v>92</v>
      </c>
      <c r="AB42" s="5" t="s">
        <v>93</v>
      </c>
      <c r="AC42" s="5" t="s">
        <v>94</v>
      </c>
      <c r="AD42" s="5" t="s">
        <v>130</v>
      </c>
      <c r="AE42" s="5" t="s">
        <v>169</v>
      </c>
      <c r="AF42" s="5" t="s">
        <v>92</v>
      </c>
      <c r="AG42" s="5" t="s">
        <v>181</v>
      </c>
      <c r="AH42" s="5" t="s">
        <v>152</v>
      </c>
      <c r="AI42" s="5" t="s">
        <v>92</v>
      </c>
      <c r="AJ42" s="5" t="s">
        <v>98</v>
      </c>
      <c r="AK42" s="5" t="s">
        <v>121</v>
      </c>
      <c r="AL42" s="5" t="s">
        <v>107</v>
      </c>
      <c r="AM42" s="5">
        <v>0</v>
      </c>
      <c r="AN42" s="5" t="s">
        <v>122</v>
      </c>
      <c r="AO42" s="5" t="s">
        <v>101</v>
      </c>
      <c r="AP42" s="5" t="s">
        <v>101</v>
      </c>
      <c r="AQ42" s="5" t="s">
        <v>101</v>
      </c>
      <c r="AR42" s="5" t="s">
        <v>101</v>
      </c>
      <c r="AS42" s="5"/>
      <c r="AT42" s="5" t="s">
        <v>220</v>
      </c>
      <c r="AU42" s="5" t="s">
        <v>103</v>
      </c>
      <c r="AV42" s="5" t="s">
        <v>102</v>
      </c>
      <c r="AW42" s="5" t="s">
        <v>105</v>
      </c>
      <c r="AX42" s="5" t="s">
        <v>106</v>
      </c>
      <c r="AY42" s="5">
        <v>2750</v>
      </c>
      <c r="AZ42" s="5">
        <v>4250</v>
      </c>
      <c r="BA42" s="5">
        <v>1500</v>
      </c>
      <c r="BB42" s="5">
        <v>1590</v>
      </c>
      <c r="BC42" s="5">
        <v>0.42199999999999999</v>
      </c>
      <c r="BD42" s="5">
        <v>1</v>
      </c>
      <c r="BE42" s="5">
        <v>1</v>
      </c>
      <c r="BF42" s="5">
        <v>6885</v>
      </c>
      <c r="BG42" s="5">
        <v>0</v>
      </c>
      <c r="BH42" s="5">
        <v>0</v>
      </c>
      <c r="BI42" s="5">
        <v>2</v>
      </c>
      <c r="BJ42" s="5">
        <v>0</v>
      </c>
      <c r="BK42" s="5">
        <v>0</v>
      </c>
      <c r="BL42" s="5" t="s">
        <v>107</v>
      </c>
      <c r="BM42" s="5">
        <v>1</v>
      </c>
      <c r="BN42" s="5">
        <v>2.67</v>
      </c>
      <c r="BO42" s="5">
        <v>3050</v>
      </c>
      <c r="BP42" s="5">
        <v>13100</v>
      </c>
    </row>
    <row r="43" spans="1:68" x14ac:dyDescent="0.3">
      <c r="A43" s="5" t="s">
        <v>255</v>
      </c>
      <c r="B43" s="6">
        <v>46310</v>
      </c>
      <c r="C43" s="5" t="s">
        <v>254</v>
      </c>
      <c r="D43" s="5" t="s">
        <v>155</v>
      </c>
      <c r="E43" s="5" t="s">
        <v>77</v>
      </c>
      <c r="F43" s="5" t="s">
        <v>78</v>
      </c>
      <c r="G43" s="5">
        <v>10</v>
      </c>
      <c r="H43" s="5" t="s">
        <v>79</v>
      </c>
      <c r="I43" s="5" t="s">
        <v>80</v>
      </c>
      <c r="J43" s="5" t="s">
        <v>81</v>
      </c>
      <c r="K43" s="5" t="s">
        <v>82</v>
      </c>
      <c r="L43" s="5">
        <v>2</v>
      </c>
      <c r="M43" s="5" t="s">
        <v>128</v>
      </c>
      <c r="N43" s="5" t="s">
        <v>131</v>
      </c>
      <c r="O43" s="5">
        <v>19</v>
      </c>
      <c r="P43" s="5" t="s">
        <v>85</v>
      </c>
      <c r="Q43" s="5">
        <v>7</v>
      </c>
      <c r="R43" s="5">
        <v>5</v>
      </c>
      <c r="S43" s="5" t="s">
        <v>88</v>
      </c>
      <c r="T43" s="5" t="s">
        <v>140</v>
      </c>
      <c r="U43" s="5" t="s">
        <v>129</v>
      </c>
      <c r="V43" s="5">
        <v>1300</v>
      </c>
      <c r="W43" s="5" t="s">
        <v>226</v>
      </c>
      <c r="X43" s="5" t="s">
        <v>116</v>
      </c>
      <c r="Y43" s="5" t="s">
        <v>117</v>
      </c>
      <c r="Z43" s="5" t="s">
        <v>91</v>
      </c>
      <c r="AA43" s="5" t="s">
        <v>92</v>
      </c>
      <c r="AB43" s="5" t="s">
        <v>93</v>
      </c>
      <c r="AC43" s="5" t="s">
        <v>94</v>
      </c>
      <c r="AD43" s="5" t="s">
        <v>95</v>
      </c>
      <c r="AE43" s="5" t="s">
        <v>169</v>
      </c>
      <c r="AF43" s="5" t="s">
        <v>92</v>
      </c>
      <c r="AG43" s="5" t="s">
        <v>133</v>
      </c>
      <c r="AH43" s="5" t="s">
        <v>97</v>
      </c>
      <c r="AI43" s="5" t="s">
        <v>92</v>
      </c>
      <c r="AJ43" s="5" t="s">
        <v>98</v>
      </c>
      <c r="AK43" s="5" t="s">
        <v>99</v>
      </c>
      <c r="AL43" s="5" t="s">
        <v>182</v>
      </c>
      <c r="AM43" s="5">
        <v>2400</v>
      </c>
      <c r="AN43" s="5" t="s">
        <v>78</v>
      </c>
      <c r="AO43" s="5" t="s">
        <v>244</v>
      </c>
      <c r="AP43" s="5" t="s">
        <v>256</v>
      </c>
      <c r="AQ43" s="5" t="s">
        <v>78</v>
      </c>
      <c r="AR43" s="5" t="s">
        <v>257</v>
      </c>
      <c r="AS43" s="5"/>
      <c r="AT43" s="5" t="s">
        <v>220</v>
      </c>
      <c r="AU43" s="5" t="s">
        <v>103</v>
      </c>
      <c r="AV43" s="5" t="s">
        <v>153</v>
      </c>
      <c r="AW43" s="5" t="s">
        <v>105</v>
      </c>
      <c r="AX43" s="5" t="s">
        <v>106</v>
      </c>
      <c r="AY43" s="5">
        <v>2750</v>
      </c>
      <c r="AZ43" s="5">
        <v>4250</v>
      </c>
      <c r="BA43" s="5">
        <v>1500</v>
      </c>
      <c r="BB43" s="5">
        <v>1450</v>
      </c>
      <c r="BC43" s="5">
        <v>0.47299999999999998</v>
      </c>
      <c r="BD43" s="5">
        <v>1</v>
      </c>
      <c r="BE43" s="5">
        <v>1</v>
      </c>
      <c r="BF43" s="5">
        <v>6278</v>
      </c>
      <c r="BG43" s="5">
        <v>0.38200000000000001</v>
      </c>
      <c r="BH43" s="5">
        <v>0</v>
      </c>
      <c r="BI43" s="5">
        <v>1</v>
      </c>
      <c r="BJ43" s="5">
        <v>2</v>
      </c>
      <c r="BK43" s="5">
        <v>1</v>
      </c>
      <c r="BL43" s="5" t="s">
        <v>224</v>
      </c>
      <c r="BM43" s="5">
        <v>0</v>
      </c>
      <c r="BN43" s="5">
        <v>3</v>
      </c>
      <c r="BO43" s="5">
        <v>2890</v>
      </c>
      <c r="BP43" s="5">
        <v>12400</v>
      </c>
    </row>
    <row r="44" spans="1:68" x14ac:dyDescent="0.3">
      <c r="A44" s="5" t="s">
        <v>258</v>
      </c>
      <c r="B44" s="6">
        <v>46316</v>
      </c>
      <c r="C44" s="5" t="s">
        <v>254</v>
      </c>
      <c r="D44" s="5" t="s">
        <v>76</v>
      </c>
      <c r="E44" s="5" t="s">
        <v>138</v>
      </c>
      <c r="F44" s="5" t="s">
        <v>78</v>
      </c>
      <c r="G44" s="5">
        <v>8</v>
      </c>
      <c r="H44" s="5" t="s">
        <v>156</v>
      </c>
      <c r="I44" s="5" t="s">
        <v>80</v>
      </c>
      <c r="J44" s="5" t="s">
        <v>126</v>
      </c>
      <c r="K44" s="5" t="s">
        <v>82</v>
      </c>
      <c r="L44" s="5">
        <v>2</v>
      </c>
      <c r="M44" s="5" t="s">
        <v>179</v>
      </c>
      <c r="N44" s="5" t="s">
        <v>84</v>
      </c>
      <c r="O44" s="5">
        <v>50</v>
      </c>
      <c r="P44" s="5" t="s">
        <v>85</v>
      </c>
      <c r="Q44" s="5">
        <v>7</v>
      </c>
      <c r="R44" s="5">
        <v>7</v>
      </c>
      <c r="S44" s="5" t="s">
        <v>140</v>
      </c>
      <c r="T44" s="5" t="s">
        <v>87</v>
      </c>
      <c r="U44" s="5" t="s">
        <v>88</v>
      </c>
      <c r="V44" s="5">
        <v>1910</v>
      </c>
      <c r="W44" s="5" t="s">
        <v>174</v>
      </c>
      <c r="X44" s="5" t="s">
        <v>116</v>
      </c>
      <c r="Y44" s="5" t="s">
        <v>90</v>
      </c>
      <c r="Z44" s="5" t="s">
        <v>168</v>
      </c>
      <c r="AA44" s="5" t="s">
        <v>92</v>
      </c>
      <c r="AB44" s="5" t="s">
        <v>93</v>
      </c>
      <c r="AC44" s="5" t="s">
        <v>118</v>
      </c>
      <c r="AD44" s="5" t="s">
        <v>130</v>
      </c>
      <c r="AE44" s="5" t="s">
        <v>169</v>
      </c>
      <c r="AF44" s="5" t="s">
        <v>132</v>
      </c>
      <c r="AG44" s="5" t="s">
        <v>96</v>
      </c>
      <c r="AH44" s="5" t="s">
        <v>120</v>
      </c>
      <c r="AI44" s="5" t="s">
        <v>78</v>
      </c>
      <c r="AJ44" s="5" t="s">
        <v>216</v>
      </c>
      <c r="AK44" s="5" t="s">
        <v>134</v>
      </c>
      <c r="AL44" s="5" t="s">
        <v>259</v>
      </c>
      <c r="AM44" s="5">
        <v>4700</v>
      </c>
      <c r="AN44" s="5" t="s">
        <v>78</v>
      </c>
      <c r="AO44" s="5" t="s">
        <v>244</v>
      </c>
      <c r="AP44" s="5" t="s">
        <v>256</v>
      </c>
      <c r="AQ44" s="5" t="s">
        <v>92</v>
      </c>
      <c r="AR44" s="5" t="s">
        <v>92</v>
      </c>
      <c r="AS44" s="5"/>
      <c r="AT44" s="5" t="s">
        <v>103</v>
      </c>
      <c r="AU44" s="5" t="s">
        <v>104</v>
      </c>
      <c r="AV44" s="5" t="s">
        <v>104</v>
      </c>
      <c r="AW44" s="5" t="s">
        <v>101</v>
      </c>
      <c r="AX44" s="5" t="s">
        <v>106</v>
      </c>
      <c r="AY44" s="5">
        <v>4250</v>
      </c>
      <c r="AZ44" s="5">
        <v>8000</v>
      </c>
      <c r="BA44" s="5">
        <v>2750</v>
      </c>
      <c r="BB44" s="5">
        <v>2340</v>
      </c>
      <c r="BC44" s="5">
        <v>0.44900000000000001</v>
      </c>
      <c r="BD44" s="5">
        <v>1.2350000000000001</v>
      </c>
      <c r="BE44" s="5">
        <v>1</v>
      </c>
      <c r="BF44" s="5">
        <v>10132</v>
      </c>
      <c r="BG44" s="5">
        <v>0.46400000000000002</v>
      </c>
      <c r="BH44" s="5">
        <v>0</v>
      </c>
      <c r="BI44" s="5">
        <v>3</v>
      </c>
      <c r="BJ44" s="5">
        <v>2</v>
      </c>
      <c r="BK44" s="5">
        <v>1</v>
      </c>
      <c r="BL44" s="5" t="s">
        <v>224</v>
      </c>
      <c r="BM44" s="5">
        <v>1</v>
      </c>
      <c r="BN44" s="5">
        <v>4.33</v>
      </c>
      <c r="BO44" s="5">
        <v>4580</v>
      </c>
      <c r="BP44" s="5">
        <v>19700</v>
      </c>
    </row>
    <row r="45" spans="1:68" x14ac:dyDescent="0.3">
      <c r="A45" s="5" t="s">
        <v>260</v>
      </c>
      <c r="B45" s="6">
        <v>46310</v>
      </c>
      <c r="C45" s="5" t="s">
        <v>254</v>
      </c>
      <c r="D45" s="5" t="s">
        <v>218</v>
      </c>
      <c r="E45" s="5" t="s">
        <v>138</v>
      </c>
      <c r="F45" s="5" t="s">
        <v>78</v>
      </c>
      <c r="G45" s="5">
        <v>7</v>
      </c>
      <c r="H45" s="5" t="s">
        <v>79</v>
      </c>
      <c r="I45" s="5" t="s">
        <v>80</v>
      </c>
      <c r="J45" s="5" t="s">
        <v>81</v>
      </c>
      <c r="K45" s="5" t="s">
        <v>82</v>
      </c>
      <c r="L45" s="5">
        <v>0</v>
      </c>
      <c r="M45" s="5" t="s">
        <v>112</v>
      </c>
      <c r="N45" s="5" t="s">
        <v>84</v>
      </c>
      <c r="O45" s="5">
        <v>25</v>
      </c>
      <c r="P45" s="5" t="s">
        <v>149</v>
      </c>
      <c r="Q45" s="5">
        <v>7</v>
      </c>
      <c r="R45" s="5">
        <v>11</v>
      </c>
      <c r="S45" s="5" t="s">
        <v>140</v>
      </c>
      <c r="T45" s="5" t="s">
        <v>86</v>
      </c>
      <c r="U45" s="5" t="s">
        <v>88</v>
      </c>
      <c r="V45" s="5">
        <v>2040</v>
      </c>
      <c r="W45" s="5" t="s">
        <v>219</v>
      </c>
      <c r="X45" s="5" t="s">
        <v>89</v>
      </c>
      <c r="Y45" s="5" t="s">
        <v>90</v>
      </c>
      <c r="Z45" s="5" t="s">
        <v>91</v>
      </c>
      <c r="AA45" s="5" t="s">
        <v>92</v>
      </c>
      <c r="AB45" s="5" t="s">
        <v>93</v>
      </c>
      <c r="AC45" s="5" t="s">
        <v>118</v>
      </c>
      <c r="AD45" s="5" t="s">
        <v>95</v>
      </c>
      <c r="AE45" s="5" t="s">
        <v>131</v>
      </c>
      <c r="AF45" s="5" t="s">
        <v>92</v>
      </c>
      <c r="AG45" s="5" t="s">
        <v>96</v>
      </c>
      <c r="AH45" s="5" t="s">
        <v>120</v>
      </c>
      <c r="AI45" s="5" t="s">
        <v>78</v>
      </c>
      <c r="AJ45" s="5" t="s">
        <v>159</v>
      </c>
      <c r="AK45" s="5" t="s">
        <v>101</v>
      </c>
      <c r="AL45" s="5" t="s">
        <v>261</v>
      </c>
      <c r="AM45" s="5">
        <v>6100</v>
      </c>
      <c r="AN45" s="5" t="s">
        <v>92</v>
      </c>
      <c r="AO45" s="5" t="s">
        <v>101</v>
      </c>
      <c r="AP45" s="5" t="s">
        <v>101</v>
      </c>
      <c r="AQ45" s="5" t="s">
        <v>101</v>
      </c>
      <c r="AR45" s="5" t="s">
        <v>101</v>
      </c>
      <c r="AS45" s="5">
        <v>3</v>
      </c>
      <c r="AT45" s="5" t="s">
        <v>104</v>
      </c>
      <c r="AU45" s="5" t="s">
        <v>153</v>
      </c>
      <c r="AV45" s="5" t="s">
        <v>102</v>
      </c>
      <c r="AW45" s="5" t="s">
        <v>147</v>
      </c>
      <c r="AX45" s="5" t="s">
        <v>106</v>
      </c>
      <c r="AY45" s="5">
        <v>4250</v>
      </c>
      <c r="AZ45" s="5">
        <v>6000</v>
      </c>
      <c r="BA45" s="5">
        <v>2750</v>
      </c>
      <c r="BB45" s="5">
        <v>2210</v>
      </c>
      <c r="BC45" s="5">
        <v>0.48</v>
      </c>
      <c r="BD45" s="5">
        <v>0.76500000000000001</v>
      </c>
      <c r="BE45" s="5">
        <v>1</v>
      </c>
      <c r="BF45" s="5">
        <v>9569</v>
      </c>
      <c r="BG45" s="5">
        <v>0.63700000000000001</v>
      </c>
      <c r="BH45" s="5">
        <v>0</v>
      </c>
      <c r="BI45" s="5">
        <v>3</v>
      </c>
      <c r="BJ45" s="5">
        <v>3</v>
      </c>
      <c r="BK45" s="5">
        <v>0</v>
      </c>
      <c r="BL45" s="5" t="s">
        <v>107</v>
      </c>
      <c r="BM45" s="5">
        <v>1</v>
      </c>
      <c r="BN45" s="5">
        <v>3</v>
      </c>
      <c r="BO45" s="5">
        <v>4570</v>
      </c>
      <c r="BP45" s="5">
        <v>19600</v>
      </c>
    </row>
    <row r="46" spans="1:68" x14ac:dyDescent="0.3">
      <c r="A46" s="5" t="s">
        <v>262</v>
      </c>
      <c r="B46" s="6">
        <v>46310</v>
      </c>
      <c r="C46" s="5" t="s">
        <v>254</v>
      </c>
      <c r="D46" s="5" t="s">
        <v>109</v>
      </c>
      <c r="E46" s="5" t="s">
        <v>187</v>
      </c>
      <c r="F46" s="5" t="s">
        <v>78</v>
      </c>
      <c r="G46" s="5">
        <v>9</v>
      </c>
      <c r="H46" s="5" t="s">
        <v>79</v>
      </c>
      <c r="I46" s="5" t="s">
        <v>80</v>
      </c>
      <c r="J46" s="5" t="s">
        <v>81</v>
      </c>
      <c r="K46" s="5" t="s">
        <v>82</v>
      </c>
      <c r="L46" s="5">
        <v>2</v>
      </c>
      <c r="M46" s="5" t="s">
        <v>173</v>
      </c>
      <c r="N46" s="5" t="s">
        <v>84</v>
      </c>
      <c r="O46" s="5">
        <v>14</v>
      </c>
      <c r="P46" s="5" t="s">
        <v>85</v>
      </c>
      <c r="Q46" s="5">
        <v>4</v>
      </c>
      <c r="R46" s="5">
        <v>8</v>
      </c>
      <c r="S46" s="5" t="s">
        <v>88</v>
      </c>
      <c r="T46" s="5" t="s">
        <v>140</v>
      </c>
      <c r="U46" s="5" t="s">
        <v>129</v>
      </c>
      <c r="V46" s="5">
        <v>960</v>
      </c>
      <c r="W46" s="5" t="s">
        <v>263</v>
      </c>
      <c r="X46" s="5" t="s">
        <v>142</v>
      </c>
      <c r="Y46" s="5" t="s">
        <v>90</v>
      </c>
      <c r="Z46" s="5" t="s">
        <v>91</v>
      </c>
      <c r="AA46" s="5" t="s">
        <v>92</v>
      </c>
      <c r="AB46" s="5" t="s">
        <v>93</v>
      </c>
      <c r="AC46" s="5" t="s">
        <v>118</v>
      </c>
      <c r="AD46" s="5" t="s">
        <v>95</v>
      </c>
      <c r="AE46" s="5" t="s">
        <v>169</v>
      </c>
      <c r="AF46" s="5" t="s">
        <v>92</v>
      </c>
      <c r="AG46" s="5" t="s">
        <v>133</v>
      </c>
      <c r="AH46" s="5" t="s">
        <v>97</v>
      </c>
      <c r="AI46" s="5" t="s">
        <v>92</v>
      </c>
      <c r="AJ46" s="5" t="s">
        <v>98</v>
      </c>
      <c r="AK46" s="5" t="s">
        <v>99</v>
      </c>
      <c r="AL46" s="5" t="s">
        <v>199</v>
      </c>
      <c r="AM46" s="5">
        <v>3500</v>
      </c>
      <c r="AN46" s="5" t="s">
        <v>92</v>
      </c>
      <c r="AO46" s="5" t="s">
        <v>101</v>
      </c>
      <c r="AP46" s="5" t="s">
        <v>101</v>
      </c>
      <c r="AQ46" s="5" t="s">
        <v>101</v>
      </c>
      <c r="AR46" s="5" t="s">
        <v>101</v>
      </c>
      <c r="AS46" s="5"/>
      <c r="AT46" s="5" t="s">
        <v>103</v>
      </c>
      <c r="AU46" s="5" t="s">
        <v>104</v>
      </c>
      <c r="AV46" s="5" t="s">
        <v>104</v>
      </c>
      <c r="AW46" s="5" t="s">
        <v>101</v>
      </c>
      <c r="AX46" s="5" t="s">
        <v>106</v>
      </c>
      <c r="AY46" s="5">
        <v>2750</v>
      </c>
      <c r="AZ46" s="5">
        <v>4250</v>
      </c>
      <c r="BA46" s="5">
        <v>1500</v>
      </c>
      <c r="BB46" s="5">
        <v>1790</v>
      </c>
      <c r="BC46" s="5">
        <v>0.34899999999999998</v>
      </c>
      <c r="BD46" s="5">
        <v>1</v>
      </c>
      <c r="BE46" s="5">
        <v>0.57099999999999995</v>
      </c>
      <c r="BF46" s="5">
        <v>7751</v>
      </c>
      <c r="BG46" s="5">
        <v>0.45200000000000001</v>
      </c>
      <c r="BH46" s="5">
        <v>0</v>
      </c>
      <c r="BI46" s="5">
        <v>1</v>
      </c>
      <c r="BJ46" s="5">
        <v>1</v>
      </c>
      <c r="BK46" s="5">
        <v>0</v>
      </c>
      <c r="BL46" s="5" t="s">
        <v>107</v>
      </c>
      <c r="BM46" s="5">
        <v>0</v>
      </c>
      <c r="BN46" s="5">
        <v>4.33</v>
      </c>
      <c r="BO46" s="5">
        <v>2580</v>
      </c>
      <c r="BP46" s="5">
        <v>11100</v>
      </c>
    </row>
    <row r="47" spans="1:68" x14ac:dyDescent="0.3">
      <c r="A47" s="5" t="s">
        <v>264</v>
      </c>
      <c r="B47" s="6">
        <v>46310</v>
      </c>
      <c r="C47" s="5" t="s">
        <v>254</v>
      </c>
      <c r="D47" s="5" t="s">
        <v>137</v>
      </c>
      <c r="E47" s="5" t="s">
        <v>77</v>
      </c>
      <c r="F47" s="5" t="s">
        <v>78</v>
      </c>
      <c r="G47" s="5">
        <v>7</v>
      </c>
      <c r="H47" s="5" t="s">
        <v>191</v>
      </c>
      <c r="I47" s="5" t="s">
        <v>80</v>
      </c>
      <c r="J47" s="5" t="s">
        <v>81</v>
      </c>
      <c r="K47" s="5" t="s">
        <v>82</v>
      </c>
      <c r="L47" s="5">
        <v>1</v>
      </c>
      <c r="M47" s="5" t="s">
        <v>139</v>
      </c>
      <c r="N47" s="5" t="s">
        <v>131</v>
      </c>
      <c r="O47" s="5">
        <v>9</v>
      </c>
      <c r="P47" s="5" t="s">
        <v>149</v>
      </c>
      <c r="Q47" s="5">
        <v>7</v>
      </c>
      <c r="R47" s="5">
        <v>8</v>
      </c>
      <c r="S47" s="5" t="s">
        <v>140</v>
      </c>
      <c r="T47" s="5" t="s">
        <v>86</v>
      </c>
      <c r="U47" s="5" t="s">
        <v>88</v>
      </c>
      <c r="V47" s="5">
        <v>1780</v>
      </c>
      <c r="W47" s="5"/>
      <c r="X47" s="5" t="s">
        <v>116</v>
      </c>
      <c r="Y47" s="5" t="s">
        <v>90</v>
      </c>
      <c r="Z47" s="5" t="s">
        <v>91</v>
      </c>
      <c r="AA47" s="5" t="s">
        <v>78</v>
      </c>
      <c r="AB47" s="5" t="s">
        <v>158</v>
      </c>
      <c r="AC47" s="5" t="s">
        <v>118</v>
      </c>
      <c r="AD47" s="5" t="s">
        <v>95</v>
      </c>
      <c r="AE47" s="5" t="s">
        <v>84</v>
      </c>
      <c r="AF47" s="5" t="s">
        <v>92</v>
      </c>
      <c r="AG47" s="5" t="s">
        <v>96</v>
      </c>
      <c r="AH47" s="5" t="s">
        <v>120</v>
      </c>
      <c r="AI47" s="5" t="s">
        <v>78</v>
      </c>
      <c r="AJ47" s="5" t="s">
        <v>216</v>
      </c>
      <c r="AK47" s="5" t="s">
        <v>121</v>
      </c>
      <c r="AL47" s="5" t="s">
        <v>107</v>
      </c>
      <c r="AM47" s="5">
        <v>0</v>
      </c>
      <c r="AN47" s="5" t="s">
        <v>122</v>
      </c>
      <c r="AO47" s="5" t="s">
        <v>101</v>
      </c>
      <c r="AP47" s="5" t="s">
        <v>101</v>
      </c>
      <c r="AQ47" s="5" t="s">
        <v>101</v>
      </c>
      <c r="AR47" s="5" t="s">
        <v>101</v>
      </c>
      <c r="AS47" s="5"/>
      <c r="AT47" s="5" t="s">
        <v>220</v>
      </c>
      <c r="AU47" s="5" t="s">
        <v>103</v>
      </c>
      <c r="AV47" s="5" t="s">
        <v>104</v>
      </c>
      <c r="AW47" s="5" t="s">
        <v>135</v>
      </c>
      <c r="AX47" s="5" t="s">
        <v>106</v>
      </c>
      <c r="AY47" s="5">
        <v>4250</v>
      </c>
      <c r="AZ47" s="5">
        <v>6000</v>
      </c>
      <c r="BA47" s="5">
        <v>2750</v>
      </c>
      <c r="BB47" s="5">
        <v>2470</v>
      </c>
      <c r="BC47" s="5">
        <v>0.41899999999999998</v>
      </c>
      <c r="BD47" s="5">
        <v>0.76500000000000001</v>
      </c>
      <c r="BE47" s="5">
        <v>1</v>
      </c>
      <c r="BF47" s="5">
        <v>10695</v>
      </c>
      <c r="BG47" s="5">
        <v>0</v>
      </c>
      <c r="BH47" s="5">
        <v>1.5</v>
      </c>
      <c r="BI47" s="5">
        <v>0</v>
      </c>
      <c r="BJ47" s="5">
        <v>0</v>
      </c>
      <c r="BK47" s="5">
        <v>0</v>
      </c>
      <c r="BL47" s="5" t="s">
        <v>107</v>
      </c>
      <c r="BM47" s="5">
        <v>1</v>
      </c>
      <c r="BN47" s="5">
        <v>3.33</v>
      </c>
      <c r="BO47" s="5">
        <v>3970</v>
      </c>
      <c r="BP47" s="5">
        <v>17100</v>
      </c>
    </row>
    <row r="48" spans="1:68" x14ac:dyDescent="0.3">
      <c r="A48" s="5" t="s">
        <v>265</v>
      </c>
      <c r="B48" s="6">
        <v>46310</v>
      </c>
      <c r="C48" s="5" t="s">
        <v>254</v>
      </c>
      <c r="D48" s="5" t="s">
        <v>109</v>
      </c>
      <c r="E48" s="5" t="s">
        <v>228</v>
      </c>
      <c r="F48" s="5" t="s">
        <v>78</v>
      </c>
      <c r="G48" s="5">
        <v>11</v>
      </c>
      <c r="H48" s="5" t="s">
        <v>79</v>
      </c>
      <c r="I48" s="5" t="s">
        <v>80</v>
      </c>
      <c r="J48" s="5" t="s">
        <v>81</v>
      </c>
      <c r="K48" s="5" t="s">
        <v>82</v>
      </c>
      <c r="L48" s="5">
        <v>2</v>
      </c>
      <c r="M48" s="5" t="s">
        <v>112</v>
      </c>
      <c r="N48" s="5" t="s">
        <v>84</v>
      </c>
      <c r="O48" s="5">
        <v>17</v>
      </c>
      <c r="P48" s="5" t="s">
        <v>113</v>
      </c>
      <c r="Q48" s="5">
        <v>7</v>
      </c>
      <c r="R48" s="5">
        <v>7</v>
      </c>
      <c r="S48" s="5" t="s">
        <v>140</v>
      </c>
      <c r="T48" s="5" t="s">
        <v>86</v>
      </c>
      <c r="U48" s="5" t="s">
        <v>88</v>
      </c>
      <c r="V48" s="5">
        <v>1830</v>
      </c>
      <c r="W48" s="5"/>
      <c r="X48" s="5" t="s">
        <v>89</v>
      </c>
      <c r="Y48" s="5" t="s">
        <v>117</v>
      </c>
      <c r="Z48" s="5" t="s">
        <v>91</v>
      </c>
      <c r="AA48" s="5" t="s">
        <v>78</v>
      </c>
      <c r="AB48" s="5" t="s">
        <v>175</v>
      </c>
      <c r="AC48" s="5" t="s">
        <v>118</v>
      </c>
      <c r="AD48" s="5" t="s">
        <v>130</v>
      </c>
      <c r="AE48" s="5" t="s">
        <v>84</v>
      </c>
      <c r="AF48" s="5" t="s">
        <v>92</v>
      </c>
      <c r="AG48" s="5" t="s">
        <v>96</v>
      </c>
      <c r="AH48" s="5" t="s">
        <v>152</v>
      </c>
      <c r="AI48" s="5" t="s">
        <v>92</v>
      </c>
      <c r="AJ48" s="5" t="s">
        <v>98</v>
      </c>
      <c r="AK48" s="5" t="s">
        <v>99</v>
      </c>
      <c r="AL48" s="5" t="s">
        <v>107</v>
      </c>
      <c r="AM48" s="5">
        <v>0</v>
      </c>
      <c r="AN48" s="5" t="s">
        <v>122</v>
      </c>
      <c r="AO48" s="5" t="s">
        <v>101</v>
      </c>
      <c r="AP48" s="5" t="s">
        <v>101</v>
      </c>
      <c r="AQ48" s="5" t="s">
        <v>101</v>
      </c>
      <c r="AR48" s="5" t="s">
        <v>101</v>
      </c>
      <c r="AS48" s="5"/>
      <c r="AT48" s="5" t="s">
        <v>103</v>
      </c>
      <c r="AU48" s="5" t="s">
        <v>153</v>
      </c>
      <c r="AV48" s="5" t="s">
        <v>102</v>
      </c>
      <c r="AW48" s="5" t="s">
        <v>105</v>
      </c>
      <c r="AX48" s="5" t="s">
        <v>106</v>
      </c>
      <c r="AY48" s="5">
        <v>4250</v>
      </c>
      <c r="AZ48" s="5">
        <v>6000</v>
      </c>
      <c r="BA48" s="5">
        <v>2750</v>
      </c>
      <c r="BB48" s="5">
        <v>2420</v>
      </c>
      <c r="BC48" s="5">
        <v>0.43099999999999999</v>
      </c>
      <c r="BD48" s="5">
        <v>0.76500000000000001</v>
      </c>
      <c r="BE48" s="5">
        <v>1</v>
      </c>
      <c r="BF48" s="5">
        <v>10479</v>
      </c>
      <c r="BG48" s="5">
        <v>0</v>
      </c>
      <c r="BH48" s="5">
        <v>0.5</v>
      </c>
      <c r="BI48" s="5">
        <v>0</v>
      </c>
      <c r="BJ48" s="5">
        <v>0</v>
      </c>
      <c r="BK48" s="5">
        <v>0</v>
      </c>
      <c r="BL48" s="5" t="s">
        <v>107</v>
      </c>
      <c r="BM48" s="5">
        <v>1</v>
      </c>
      <c r="BN48" s="5">
        <v>3.33</v>
      </c>
      <c r="BO48" s="5">
        <v>4940</v>
      </c>
      <c r="BP48" s="5">
        <v>21200</v>
      </c>
    </row>
    <row r="49" spans="1:68" x14ac:dyDescent="0.3">
      <c r="A49" s="5" t="s">
        <v>266</v>
      </c>
      <c r="B49" s="6">
        <v>46316</v>
      </c>
      <c r="C49" s="5" t="s">
        <v>254</v>
      </c>
      <c r="D49" s="5" t="s">
        <v>218</v>
      </c>
      <c r="E49" s="5" t="s">
        <v>138</v>
      </c>
      <c r="F49" s="5" t="s">
        <v>78</v>
      </c>
      <c r="G49" s="5">
        <v>7</v>
      </c>
      <c r="H49" s="5" t="s">
        <v>156</v>
      </c>
      <c r="I49" s="5" t="s">
        <v>80</v>
      </c>
      <c r="J49" s="5" t="s">
        <v>178</v>
      </c>
      <c r="K49" s="5" t="s">
        <v>111</v>
      </c>
      <c r="L49" s="5">
        <v>3</v>
      </c>
      <c r="M49" s="5" t="s">
        <v>112</v>
      </c>
      <c r="N49" s="5" t="s">
        <v>169</v>
      </c>
      <c r="O49" s="5">
        <v>12</v>
      </c>
      <c r="P49" s="5" t="s">
        <v>149</v>
      </c>
      <c r="Q49" s="5">
        <v>6</v>
      </c>
      <c r="R49" s="5">
        <v>12</v>
      </c>
      <c r="S49" s="5" t="s">
        <v>87</v>
      </c>
      <c r="T49" s="5" t="s">
        <v>114</v>
      </c>
      <c r="U49" s="5" t="s">
        <v>140</v>
      </c>
      <c r="V49" s="5">
        <v>2450</v>
      </c>
      <c r="W49" s="5" t="s">
        <v>267</v>
      </c>
      <c r="X49" s="5" t="s">
        <v>142</v>
      </c>
      <c r="Y49" s="5" t="s">
        <v>90</v>
      </c>
      <c r="Z49" s="5" t="s">
        <v>168</v>
      </c>
      <c r="AA49" s="5" t="s">
        <v>92</v>
      </c>
      <c r="AB49" s="5" t="s">
        <v>93</v>
      </c>
      <c r="AC49" s="5" t="s">
        <v>215</v>
      </c>
      <c r="AD49" s="5" t="s">
        <v>95</v>
      </c>
      <c r="AE49" s="5" t="s">
        <v>169</v>
      </c>
      <c r="AF49" s="5" t="s">
        <v>92</v>
      </c>
      <c r="AG49" s="5" t="s">
        <v>96</v>
      </c>
      <c r="AH49" s="5" t="s">
        <v>97</v>
      </c>
      <c r="AI49" s="5" t="s">
        <v>78</v>
      </c>
      <c r="AJ49" s="5" t="s">
        <v>216</v>
      </c>
      <c r="AK49" s="5" t="s">
        <v>134</v>
      </c>
      <c r="AL49" s="5" t="s">
        <v>107</v>
      </c>
      <c r="AM49" s="5">
        <v>0</v>
      </c>
      <c r="AN49" s="5" t="s">
        <v>122</v>
      </c>
      <c r="AO49" s="5" t="s">
        <v>101</v>
      </c>
      <c r="AP49" s="5" t="s">
        <v>101</v>
      </c>
      <c r="AQ49" s="5" t="s">
        <v>101</v>
      </c>
      <c r="AR49" s="5" t="s">
        <v>101</v>
      </c>
      <c r="AS49" s="5"/>
      <c r="AT49" s="5" t="s">
        <v>103</v>
      </c>
      <c r="AU49" s="5" t="s">
        <v>103</v>
      </c>
      <c r="AV49" s="5" t="s">
        <v>103</v>
      </c>
      <c r="AW49" s="5" t="s">
        <v>101</v>
      </c>
      <c r="AX49" s="5" t="s">
        <v>106</v>
      </c>
      <c r="AY49" s="5">
        <v>8000</v>
      </c>
      <c r="AZ49" s="5">
        <v>10000</v>
      </c>
      <c r="BA49" s="5">
        <v>4250</v>
      </c>
      <c r="BB49" s="5">
        <v>5550</v>
      </c>
      <c r="BC49" s="5">
        <v>0.30599999999999999</v>
      </c>
      <c r="BD49" s="5">
        <v>0.71899999999999997</v>
      </c>
      <c r="BE49" s="5">
        <v>0.85699999999999998</v>
      </c>
      <c r="BF49" s="5">
        <v>24032</v>
      </c>
      <c r="BG49" s="5">
        <v>0</v>
      </c>
      <c r="BH49" s="5">
        <v>0</v>
      </c>
      <c r="BI49" s="5">
        <v>4</v>
      </c>
      <c r="BJ49" s="5">
        <v>0</v>
      </c>
      <c r="BK49" s="5">
        <v>0</v>
      </c>
      <c r="BL49" s="5" t="s">
        <v>107</v>
      </c>
      <c r="BM49" s="5">
        <v>0</v>
      </c>
      <c r="BN49" s="5">
        <v>5</v>
      </c>
      <c r="BO49" s="5">
        <v>7860</v>
      </c>
      <c r="BP49" s="5">
        <v>33800</v>
      </c>
    </row>
    <row r="50" spans="1:68" x14ac:dyDescent="0.3">
      <c r="A50" s="5" t="s">
        <v>268</v>
      </c>
      <c r="B50" s="6">
        <v>46310</v>
      </c>
      <c r="C50" s="5" t="s">
        <v>254</v>
      </c>
      <c r="D50" s="5" t="s">
        <v>155</v>
      </c>
      <c r="E50" s="5" t="s">
        <v>138</v>
      </c>
      <c r="F50" s="5" t="s">
        <v>78</v>
      </c>
      <c r="G50" s="5">
        <v>11</v>
      </c>
      <c r="H50" s="5" t="s">
        <v>79</v>
      </c>
      <c r="I50" s="5" t="s">
        <v>80</v>
      </c>
      <c r="J50" s="5" t="s">
        <v>81</v>
      </c>
      <c r="K50" s="5" t="s">
        <v>82</v>
      </c>
      <c r="L50" s="5">
        <v>3</v>
      </c>
      <c r="M50" s="5" t="s">
        <v>128</v>
      </c>
      <c r="N50" s="5" t="s">
        <v>84</v>
      </c>
      <c r="O50" s="5">
        <v>44</v>
      </c>
      <c r="P50" s="5" t="s">
        <v>149</v>
      </c>
      <c r="Q50" s="5">
        <v>6</v>
      </c>
      <c r="R50" s="5">
        <v>4</v>
      </c>
      <c r="S50" s="5" t="s">
        <v>129</v>
      </c>
      <c r="T50" s="5" t="s">
        <v>88</v>
      </c>
      <c r="U50" s="5" t="s">
        <v>129</v>
      </c>
      <c r="V50" s="5">
        <v>610</v>
      </c>
      <c r="W50" s="5"/>
      <c r="X50" s="5" t="s">
        <v>89</v>
      </c>
      <c r="Y50" s="5" t="s">
        <v>90</v>
      </c>
      <c r="Z50" s="5" t="s">
        <v>91</v>
      </c>
      <c r="AA50" s="5" t="s">
        <v>92</v>
      </c>
      <c r="AB50" s="5" t="s">
        <v>93</v>
      </c>
      <c r="AC50" s="5" t="s">
        <v>94</v>
      </c>
      <c r="AD50" s="5" t="s">
        <v>95</v>
      </c>
      <c r="AE50" s="5" t="s">
        <v>169</v>
      </c>
      <c r="AF50" s="5" t="s">
        <v>92</v>
      </c>
      <c r="AG50" s="5" t="s">
        <v>181</v>
      </c>
      <c r="AH50" s="5" t="s">
        <v>120</v>
      </c>
      <c r="AI50" s="5" t="s">
        <v>92</v>
      </c>
      <c r="AJ50" s="5" t="s">
        <v>98</v>
      </c>
      <c r="AK50" s="5" t="s">
        <v>211</v>
      </c>
      <c r="AL50" s="5" t="s">
        <v>269</v>
      </c>
      <c r="AM50" s="5">
        <v>0</v>
      </c>
      <c r="AN50" s="5" t="s">
        <v>122</v>
      </c>
      <c r="AO50" s="5" t="s">
        <v>101</v>
      </c>
      <c r="AP50" s="5" t="s">
        <v>101</v>
      </c>
      <c r="AQ50" s="5" t="s">
        <v>101</v>
      </c>
      <c r="AR50" s="5" t="s">
        <v>101</v>
      </c>
      <c r="AS50" s="5"/>
      <c r="AT50" s="5" t="s">
        <v>103</v>
      </c>
      <c r="AU50" s="5" t="s">
        <v>153</v>
      </c>
      <c r="AV50" s="5" t="s">
        <v>153</v>
      </c>
      <c r="AW50" s="5" t="s">
        <v>101</v>
      </c>
      <c r="AX50" s="5" t="s">
        <v>106</v>
      </c>
      <c r="AY50" s="5">
        <v>1500</v>
      </c>
      <c r="AZ50" s="5">
        <v>2750</v>
      </c>
      <c r="BA50" s="5">
        <v>1500</v>
      </c>
      <c r="BB50" s="5">
        <v>890</v>
      </c>
      <c r="BC50" s="5">
        <v>0.40699999999999997</v>
      </c>
      <c r="BD50" s="5">
        <v>0.83299999999999996</v>
      </c>
      <c r="BE50" s="5">
        <v>0.85699999999999998</v>
      </c>
      <c r="BF50" s="5">
        <v>3854</v>
      </c>
      <c r="BG50" s="5">
        <v>0</v>
      </c>
      <c r="BH50" s="5">
        <v>0</v>
      </c>
      <c r="BI50" s="5">
        <v>0</v>
      </c>
      <c r="BJ50" s="5">
        <v>1</v>
      </c>
      <c r="BK50" s="5">
        <v>0</v>
      </c>
      <c r="BL50" s="5" t="s">
        <v>107</v>
      </c>
      <c r="BM50" s="5">
        <v>1</v>
      </c>
      <c r="BN50" s="5">
        <v>3.67</v>
      </c>
      <c r="BO50" s="5">
        <v>1760</v>
      </c>
      <c r="BP50" s="5">
        <v>7600</v>
      </c>
    </row>
    <row r="51" spans="1:68" x14ac:dyDescent="0.3">
      <c r="A51" s="5" t="s">
        <v>270</v>
      </c>
      <c r="B51" s="6">
        <v>46310</v>
      </c>
      <c r="C51" s="5" t="s">
        <v>254</v>
      </c>
      <c r="D51" s="5" t="s">
        <v>172</v>
      </c>
      <c r="E51" s="5" t="s">
        <v>138</v>
      </c>
      <c r="F51" s="5" t="s">
        <v>78</v>
      </c>
      <c r="G51" s="5">
        <v>9</v>
      </c>
      <c r="H51" s="5" t="s">
        <v>110</v>
      </c>
      <c r="I51" s="5" t="s">
        <v>80</v>
      </c>
      <c r="J51" s="5" t="s">
        <v>178</v>
      </c>
      <c r="K51" s="5" t="s">
        <v>111</v>
      </c>
      <c r="L51" s="5">
        <v>5</v>
      </c>
      <c r="M51" s="5" t="s">
        <v>112</v>
      </c>
      <c r="N51" s="5" t="s">
        <v>84</v>
      </c>
      <c r="O51" s="5">
        <v>12</v>
      </c>
      <c r="P51" s="5" t="s">
        <v>149</v>
      </c>
      <c r="Q51" s="5">
        <v>5</v>
      </c>
      <c r="R51" s="5">
        <v>15</v>
      </c>
      <c r="S51" s="5" t="s">
        <v>114</v>
      </c>
      <c r="T51" s="5" t="s">
        <v>114</v>
      </c>
      <c r="U51" s="5" t="s">
        <v>86</v>
      </c>
      <c r="V51" s="5">
        <v>1930</v>
      </c>
      <c r="W51" s="5" t="s">
        <v>263</v>
      </c>
      <c r="X51" s="5" t="s">
        <v>116</v>
      </c>
      <c r="Y51" s="5" t="s">
        <v>90</v>
      </c>
      <c r="Z51" s="5" t="s">
        <v>143</v>
      </c>
      <c r="AA51" s="5" t="s">
        <v>78</v>
      </c>
      <c r="AB51" s="5" t="s">
        <v>158</v>
      </c>
      <c r="AC51" s="5" t="s">
        <v>94</v>
      </c>
      <c r="AD51" s="5" t="s">
        <v>119</v>
      </c>
      <c r="AE51" s="5" t="s">
        <v>131</v>
      </c>
      <c r="AF51" s="5" t="s">
        <v>132</v>
      </c>
      <c r="AG51" s="5" t="s">
        <v>133</v>
      </c>
      <c r="AH51" s="5" t="s">
        <v>152</v>
      </c>
      <c r="AI51" s="5" t="s">
        <v>78</v>
      </c>
      <c r="AJ51" s="5" t="s">
        <v>159</v>
      </c>
      <c r="AK51" s="5" t="s">
        <v>101</v>
      </c>
      <c r="AL51" s="5" t="s">
        <v>271</v>
      </c>
      <c r="AM51" s="5">
        <v>3900</v>
      </c>
      <c r="AN51" s="5" t="s">
        <v>92</v>
      </c>
      <c r="AO51" s="5" t="s">
        <v>101</v>
      </c>
      <c r="AP51" s="5" t="s">
        <v>101</v>
      </c>
      <c r="AQ51" s="5" t="s">
        <v>101</v>
      </c>
      <c r="AR51" s="5" t="s">
        <v>101</v>
      </c>
      <c r="AS51" s="5"/>
      <c r="AT51" s="5" t="s">
        <v>103</v>
      </c>
      <c r="AU51" s="5" t="s">
        <v>104</v>
      </c>
      <c r="AV51" s="5" t="s">
        <v>220</v>
      </c>
      <c r="AW51" s="5" t="s">
        <v>105</v>
      </c>
      <c r="AX51" s="5" t="s">
        <v>106</v>
      </c>
      <c r="AY51" s="5">
        <v>10000</v>
      </c>
      <c r="AZ51" s="5">
        <v>10000</v>
      </c>
      <c r="BA51" s="5">
        <v>6000</v>
      </c>
      <c r="BB51" s="5">
        <v>8070</v>
      </c>
      <c r="BC51" s="5">
        <v>0.193</v>
      </c>
      <c r="BD51" s="5">
        <v>0.4</v>
      </c>
      <c r="BE51" s="5">
        <v>0.71399999999999997</v>
      </c>
      <c r="BF51" s="5">
        <v>34943</v>
      </c>
      <c r="BG51" s="5">
        <v>0.112</v>
      </c>
      <c r="BH51" s="5">
        <v>1.5</v>
      </c>
      <c r="BI51" s="5">
        <v>1</v>
      </c>
      <c r="BJ51" s="5">
        <v>2</v>
      </c>
      <c r="BK51" s="5">
        <v>0</v>
      </c>
      <c r="BL51" s="5" t="s">
        <v>107</v>
      </c>
      <c r="BM51" s="5">
        <v>1</v>
      </c>
      <c r="BN51" s="5">
        <v>3.33</v>
      </c>
      <c r="BO51" s="5">
        <v>10370</v>
      </c>
      <c r="BP51" s="5">
        <v>44600</v>
      </c>
    </row>
    <row r="52" spans="1:68" x14ac:dyDescent="0.3">
      <c r="A52" s="5" t="s">
        <v>272</v>
      </c>
      <c r="B52" s="6">
        <v>46310</v>
      </c>
      <c r="C52" s="5" t="s">
        <v>254</v>
      </c>
      <c r="D52" s="5" t="s">
        <v>109</v>
      </c>
      <c r="E52" s="5" t="s">
        <v>138</v>
      </c>
      <c r="F52" s="5" t="s">
        <v>78</v>
      </c>
      <c r="G52" s="5">
        <v>8</v>
      </c>
      <c r="H52" s="5" t="s">
        <v>79</v>
      </c>
      <c r="I52" s="5" t="s">
        <v>80</v>
      </c>
      <c r="J52" s="5" t="s">
        <v>81</v>
      </c>
      <c r="K52" s="5" t="s">
        <v>82</v>
      </c>
      <c r="L52" s="5">
        <v>2</v>
      </c>
      <c r="M52" s="5" t="s">
        <v>112</v>
      </c>
      <c r="N52" s="5" t="s">
        <v>84</v>
      </c>
      <c r="O52" s="5">
        <v>29</v>
      </c>
      <c r="P52" s="5" t="s">
        <v>113</v>
      </c>
      <c r="Q52" s="5">
        <v>7</v>
      </c>
      <c r="R52" s="5">
        <v>8</v>
      </c>
      <c r="S52" s="5" t="s">
        <v>140</v>
      </c>
      <c r="T52" s="5" t="s">
        <v>86</v>
      </c>
      <c r="U52" s="5" t="s">
        <v>88</v>
      </c>
      <c r="V52" s="5">
        <v>1410</v>
      </c>
      <c r="W52" s="5" t="s">
        <v>273</v>
      </c>
      <c r="X52" s="5" t="s">
        <v>116</v>
      </c>
      <c r="Y52" s="5" t="s">
        <v>90</v>
      </c>
      <c r="Z52" s="5" t="s">
        <v>91</v>
      </c>
      <c r="AA52" s="5" t="s">
        <v>92</v>
      </c>
      <c r="AB52" s="5" t="s">
        <v>93</v>
      </c>
      <c r="AC52" s="5" t="s">
        <v>118</v>
      </c>
      <c r="AD52" s="5" t="s">
        <v>95</v>
      </c>
      <c r="AE52" s="5" t="s">
        <v>84</v>
      </c>
      <c r="AF52" s="5" t="s">
        <v>92</v>
      </c>
      <c r="AG52" s="5" t="s">
        <v>96</v>
      </c>
      <c r="AH52" s="5" t="s">
        <v>152</v>
      </c>
      <c r="AI52" s="5" t="s">
        <v>92</v>
      </c>
      <c r="AJ52" s="5" t="s">
        <v>98</v>
      </c>
      <c r="AK52" s="5" t="s">
        <v>229</v>
      </c>
      <c r="AL52" s="5" t="s">
        <v>107</v>
      </c>
      <c r="AM52" s="5">
        <v>0</v>
      </c>
      <c r="AN52" s="5" t="s">
        <v>122</v>
      </c>
      <c r="AO52" s="5" t="s">
        <v>101</v>
      </c>
      <c r="AP52" s="5" t="s">
        <v>101</v>
      </c>
      <c r="AQ52" s="5" t="s">
        <v>101</v>
      </c>
      <c r="AR52" s="5" t="s">
        <v>101</v>
      </c>
      <c r="AS52" s="5"/>
      <c r="AT52" s="5" t="s">
        <v>104</v>
      </c>
      <c r="AU52" s="5" t="s">
        <v>103</v>
      </c>
      <c r="AV52" s="5" t="s">
        <v>153</v>
      </c>
      <c r="AW52" s="5" t="s">
        <v>101</v>
      </c>
      <c r="AX52" s="5" t="s">
        <v>106</v>
      </c>
      <c r="AY52" s="5">
        <v>4250</v>
      </c>
      <c r="AZ52" s="5">
        <v>6000</v>
      </c>
      <c r="BA52" s="5">
        <v>2750</v>
      </c>
      <c r="BB52" s="5">
        <v>2840</v>
      </c>
      <c r="BC52" s="5">
        <v>0.33200000000000002</v>
      </c>
      <c r="BD52" s="5">
        <v>0.76500000000000001</v>
      </c>
      <c r="BE52" s="5">
        <v>1</v>
      </c>
      <c r="BF52" s="5">
        <v>12297</v>
      </c>
      <c r="BG52" s="5">
        <v>0</v>
      </c>
      <c r="BH52" s="5">
        <v>0</v>
      </c>
      <c r="BI52" s="5">
        <v>1</v>
      </c>
      <c r="BJ52" s="5">
        <v>0</v>
      </c>
      <c r="BK52" s="5">
        <v>0</v>
      </c>
      <c r="BL52" s="5" t="s">
        <v>107</v>
      </c>
      <c r="BM52" s="5">
        <v>1</v>
      </c>
      <c r="BN52" s="5">
        <v>4</v>
      </c>
      <c r="BO52" s="5">
        <v>4200</v>
      </c>
      <c r="BP52" s="5">
        <v>18100</v>
      </c>
    </row>
    <row r="53" spans="1:68" x14ac:dyDescent="0.3">
      <c r="A53" s="5" t="s">
        <v>274</v>
      </c>
      <c r="B53" s="6">
        <v>46310</v>
      </c>
      <c r="C53" s="5" t="s">
        <v>254</v>
      </c>
      <c r="D53" s="5" t="s">
        <v>172</v>
      </c>
      <c r="E53" s="5" t="s">
        <v>77</v>
      </c>
      <c r="F53" s="5" t="s">
        <v>78</v>
      </c>
      <c r="G53" s="5">
        <v>10</v>
      </c>
      <c r="H53" s="5" t="s">
        <v>110</v>
      </c>
      <c r="I53" s="5" t="s">
        <v>80</v>
      </c>
      <c r="J53" s="5" t="s">
        <v>81</v>
      </c>
      <c r="K53" s="5" t="s">
        <v>82</v>
      </c>
      <c r="L53" s="5">
        <v>0</v>
      </c>
      <c r="M53" s="5" t="s">
        <v>173</v>
      </c>
      <c r="N53" s="5" t="s">
        <v>169</v>
      </c>
      <c r="O53" s="5">
        <v>16</v>
      </c>
      <c r="P53" s="5" t="s">
        <v>85</v>
      </c>
      <c r="Q53" s="5">
        <v>6</v>
      </c>
      <c r="R53" s="5">
        <v>14</v>
      </c>
      <c r="S53" s="5" t="s">
        <v>86</v>
      </c>
      <c r="T53" s="5" t="s">
        <v>114</v>
      </c>
      <c r="U53" s="5" t="s">
        <v>140</v>
      </c>
      <c r="V53" s="5">
        <v>2300</v>
      </c>
      <c r="W53" s="5" t="s">
        <v>206</v>
      </c>
      <c r="X53" s="5" t="s">
        <v>89</v>
      </c>
      <c r="Y53" s="5" t="s">
        <v>90</v>
      </c>
      <c r="Z53" s="5" t="s">
        <v>168</v>
      </c>
      <c r="AA53" s="5" t="s">
        <v>92</v>
      </c>
      <c r="AB53" s="5" t="s">
        <v>93</v>
      </c>
      <c r="AC53" s="5" t="s">
        <v>118</v>
      </c>
      <c r="AD53" s="5" t="s">
        <v>119</v>
      </c>
      <c r="AE53" s="5" t="s">
        <v>169</v>
      </c>
      <c r="AF53" s="5" t="s">
        <v>92</v>
      </c>
      <c r="AG53" s="5" t="s">
        <v>181</v>
      </c>
      <c r="AH53" s="5" t="s">
        <v>97</v>
      </c>
      <c r="AI53" s="5" t="s">
        <v>92</v>
      </c>
      <c r="AJ53" s="5" t="s">
        <v>98</v>
      </c>
      <c r="AK53" s="5" t="s">
        <v>99</v>
      </c>
      <c r="AL53" s="5" t="s">
        <v>182</v>
      </c>
      <c r="AM53" s="5">
        <v>3000</v>
      </c>
      <c r="AN53" s="5" t="s">
        <v>78</v>
      </c>
      <c r="AO53" s="5" t="s">
        <v>275</v>
      </c>
      <c r="AP53" s="5" t="s">
        <v>184</v>
      </c>
      <c r="AQ53" s="5" t="s">
        <v>92</v>
      </c>
      <c r="AR53" s="5" t="s">
        <v>257</v>
      </c>
      <c r="AS53" s="5"/>
      <c r="AT53" s="5" t="s">
        <v>103</v>
      </c>
      <c r="AU53" s="5" t="s">
        <v>104</v>
      </c>
      <c r="AV53" s="5" t="s">
        <v>104</v>
      </c>
      <c r="AW53" s="5" t="s">
        <v>101</v>
      </c>
      <c r="AX53" s="5" t="s">
        <v>106</v>
      </c>
      <c r="AY53" s="5">
        <v>6000</v>
      </c>
      <c r="AZ53" s="5">
        <v>10000</v>
      </c>
      <c r="BA53" s="5">
        <v>4250</v>
      </c>
      <c r="BB53" s="5">
        <v>3700</v>
      </c>
      <c r="BC53" s="5">
        <v>0.38300000000000001</v>
      </c>
      <c r="BD53" s="5">
        <v>0.95799999999999996</v>
      </c>
      <c r="BE53" s="5">
        <v>0.85699999999999998</v>
      </c>
      <c r="BF53" s="5">
        <v>16021</v>
      </c>
      <c r="BG53" s="5">
        <v>0.187</v>
      </c>
      <c r="BH53" s="5">
        <v>0</v>
      </c>
      <c r="BI53" s="5">
        <v>2</v>
      </c>
      <c r="BJ53" s="5">
        <v>2</v>
      </c>
      <c r="BK53" s="5">
        <v>1</v>
      </c>
      <c r="BL53" s="5" t="s">
        <v>276</v>
      </c>
      <c r="BM53" s="5">
        <v>0</v>
      </c>
      <c r="BN53" s="5">
        <v>4.33</v>
      </c>
      <c r="BO53" s="5">
        <v>6730</v>
      </c>
      <c r="BP53" s="5">
        <v>28900</v>
      </c>
    </row>
    <row r="54" spans="1:68" x14ac:dyDescent="0.3">
      <c r="A54" s="5" t="s">
        <v>277</v>
      </c>
      <c r="B54" s="6">
        <v>46316</v>
      </c>
      <c r="C54" s="5" t="s">
        <v>278</v>
      </c>
      <c r="D54" s="5" t="s">
        <v>172</v>
      </c>
      <c r="E54" s="5" t="s">
        <v>138</v>
      </c>
      <c r="F54" s="5" t="s">
        <v>78</v>
      </c>
      <c r="G54" s="5">
        <v>11</v>
      </c>
      <c r="H54" s="5" t="s">
        <v>110</v>
      </c>
      <c r="I54" s="5" t="s">
        <v>80</v>
      </c>
      <c r="J54" s="5" t="s">
        <v>196</v>
      </c>
      <c r="K54" s="5" t="s">
        <v>82</v>
      </c>
      <c r="L54" s="5">
        <v>3</v>
      </c>
      <c r="M54" s="5" t="s">
        <v>173</v>
      </c>
      <c r="N54" s="5" t="s">
        <v>84</v>
      </c>
      <c r="O54" s="5">
        <v>9</v>
      </c>
      <c r="P54" s="5" t="s">
        <v>85</v>
      </c>
      <c r="Q54" s="5">
        <v>3</v>
      </c>
      <c r="R54" s="5">
        <v>9</v>
      </c>
      <c r="S54" s="5" t="s">
        <v>129</v>
      </c>
      <c r="T54" s="5" t="s">
        <v>129</v>
      </c>
      <c r="U54" s="5" t="s">
        <v>129</v>
      </c>
      <c r="V54" s="5">
        <v>510</v>
      </c>
      <c r="W54" s="5" t="s">
        <v>252</v>
      </c>
      <c r="X54" s="5" t="s">
        <v>116</v>
      </c>
      <c r="Y54" s="5" t="s">
        <v>90</v>
      </c>
      <c r="Z54" s="5" t="s">
        <v>91</v>
      </c>
      <c r="AA54" s="5" t="s">
        <v>78</v>
      </c>
      <c r="AB54" s="5" t="s">
        <v>175</v>
      </c>
      <c r="AC54" s="5" t="s">
        <v>118</v>
      </c>
      <c r="AD54" s="5" t="s">
        <v>95</v>
      </c>
      <c r="AE54" s="5" t="s">
        <v>84</v>
      </c>
      <c r="AF54" s="5" t="s">
        <v>92</v>
      </c>
      <c r="AG54" s="5" t="s">
        <v>96</v>
      </c>
      <c r="AH54" s="5" t="s">
        <v>97</v>
      </c>
      <c r="AI54" s="5" t="s">
        <v>92</v>
      </c>
      <c r="AJ54" s="5" t="s">
        <v>98</v>
      </c>
      <c r="AK54" s="5" t="s">
        <v>229</v>
      </c>
      <c r="AL54" s="5" t="s">
        <v>199</v>
      </c>
      <c r="AM54" s="5">
        <v>3900</v>
      </c>
      <c r="AN54" s="5" t="s">
        <v>78</v>
      </c>
      <c r="AO54" s="5" t="s">
        <v>183</v>
      </c>
      <c r="AP54" s="5" t="s">
        <v>279</v>
      </c>
      <c r="AQ54" s="5" t="s">
        <v>92</v>
      </c>
      <c r="AR54" s="5" t="s">
        <v>257</v>
      </c>
      <c r="AS54" s="5"/>
      <c r="AT54" s="5" t="s">
        <v>103</v>
      </c>
      <c r="AU54" s="5" t="s">
        <v>104</v>
      </c>
      <c r="AV54" s="5" t="s">
        <v>104</v>
      </c>
      <c r="AW54" s="5" t="s">
        <v>101</v>
      </c>
      <c r="AX54" s="5" t="s">
        <v>106</v>
      </c>
      <c r="AY54" s="5">
        <v>1500</v>
      </c>
      <c r="AZ54" s="5">
        <v>1500</v>
      </c>
      <c r="BA54" s="5">
        <v>1500</v>
      </c>
      <c r="BB54" s="5">
        <v>990</v>
      </c>
      <c r="BC54" s="5">
        <v>0.34</v>
      </c>
      <c r="BD54" s="5">
        <v>0</v>
      </c>
      <c r="BE54" s="5">
        <v>0.42899999999999999</v>
      </c>
      <c r="BF54" s="5">
        <v>4287</v>
      </c>
      <c r="BG54" s="5">
        <v>0.91</v>
      </c>
      <c r="BH54" s="5">
        <v>0.5</v>
      </c>
      <c r="BI54" s="5">
        <v>3</v>
      </c>
      <c r="BJ54" s="5">
        <v>1</v>
      </c>
      <c r="BK54" s="5">
        <v>1</v>
      </c>
      <c r="BL54" s="5" t="s">
        <v>185</v>
      </c>
      <c r="BM54" s="5">
        <v>0</v>
      </c>
      <c r="BN54" s="5">
        <v>4.33</v>
      </c>
      <c r="BO54" s="5">
        <v>1140</v>
      </c>
      <c r="BP54" s="5">
        <v>4900</v>
      </c>
    </row>
    <row r="55" spans="1:68" x14ac:dyDescent="0.3">
      <c r="A55" s="5" t="s">
        <v>280</v>
      </c>
      <c r="B55" s="6">
        <v>46311</v>
      </c>
      <c r="C55" s="5" t="s">
        <v>278</v>
      </c>
      <c r="D55" s="5" t="s">
        <v>124</v>
      </c>
      <c r="E55" s="5" t="s">
        <v>138</v>
      </c>
      <c r="F55" s="5" t="s">
        <v>78</v>
      </c>
      <c r="G55" s="5">
        <v>9</v>
      </c>
      <c r="H55" s="5" t="s">
        <v>191</v>
      </c>
      <c r="I55" s="5" t="s">
        <v>80</v>
      </c>
      <c r="J55" s="5" t="s">
        <v>196</v>
      </c>
      <c r="K55" s="5" t="s">
        <v>82</v>
      </c>
      <c r="L55" s="5">
        <v>2</v>
      </c>
      <c r="M55" s="5" t="s">
        <v>128</v>
      </c>
      <c r="N55" s="5" t="s">
        <v>84</v>
      </c>
      <c r="O55" s="5">
        <v>7</v>
      </c>
      <c r="P55" s="5" t="s">
        <v>113</v>
      </c>
      <c r="Q55" s="5">
        <v>5</v>
      </c>
      <c r="R55" s="5">
        <v>8</v>
      </c>
      <c r="S55" s="5" t="s">
        <v>88</v>
      </c>
      <c r="T55" s="5" t="s">
        <v>86</v>
      </c>
      <c r="U55" s="5" t="s">
        <v>129</v>
      </c>
      <c r="V55" s="5">
        <v>990</v>
      </c>
      <c r="W55" s="5"/>
      <c r="X55" s="5" t="s">
        <v>116</v>
      </c>
      <c r="Y55" s="5" t="s">
        <v>90</v>
      </c>
      <c r="Z55" s="5" t="s">
        <v>168</v>
      </c>
      <c r="AA55" s="5" t="s">
        <v>92</v>
      </c>
      <c r="AB55" s="5" t="s">
        <v>93</v>
      </c>
      <c r="AC55" s="5" t="s">
        <v>118</v>
      </c>
      <c r="AD55" s="5" t="s">
        <v>95</v>
      </c>
      <c r="AE55" s="5" t="s">
        <v>84</v>
      </c>
      <c r="AF55" s="5" t="s">
        <v>92</v>
      </c>
      <c r="AG55" s="5" t="s">
        <v>96</v>
      </c>
      <c r="AH55" s="5" t="s">
        <v>120</v>
      </c>
      <c r="AI55" s="5" t="s">
        <v>78</v>
      </c>
      <c r="AJ55" s="5" t="s">
        <v>216</v>
      </c>
      <c r="AK55" s="5" t="s">
        <v>134</v>
      </c>
      <c r="AL55" s="5" t="s">
        <v>107</v>
      </c>
      <c r="AM55" s="5">
        <v>0</v>
      </c>
      <c r="AN55" s="5" t="s">
        <v>122</v>
      </c>
      <c r="AO55" s="5" t="s">
        <v>101</v>
      </c>
      <c r="AP55" s="5" t="s">
        <v>101</v>
      </c>
      <c r="AQ55" s="5" t="s">
        <v>101</v>
      </c>
      <c r="AR55" s="5" t="s">
        <v>101</v>
      </c>
      <c r="AS55" s="5"/>
      <c r="AT55" s="5" t="s">
        <v>104</v>
      </c>
      <c r="AU55" s="5" t="s">
        <v>103</v>
      </c>
      <c r="AV55" s="5" t="s">
        <v>104</v>
      </c>
      <c r="AW55" s="5" t="s">
        <v>101</v>
      </c>
      <c r="AX55" s="5" t="s">
        <v>106</v>
      </c>
      <c r="AY55" s="5">
        <v>2750</v>
      </c>
      <c r="AZ55" s="5">
        <v>6000</v>
      </c>
      <c r="BA55" s="5">
        <v>1500</v>
      </c>
      <c r="BB55" s="5">
        <v>1760</v>
      </c>
      <c r="BC55" s="5">
        <v>0.36</v>
      </c>
      <c r="BD55" s="5">
        <v>1.6359999999999999</v>
      </c>
      <c r="BE55" s="5">
        <v>0.71399999999999997</v>
      </c>
      <c r="BF55" s="5">
        <v>7621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 t="s">
        <v>107</v>
      </c>
      <c r="BM55" s="5">
        <v>1</v>
      </c>
      <c r="BN55" s="5">
        <v>4.33</v>
      </c>
      <c r="BO55" s="5">
        <v>3430</v>
      </c>
      <c r="BP55" s="5">
        <v>14700</v>
      </c>
    </row>
    <row r="56" spans="1:68" x14ac:dyDescent="0.3">
      <c r="A56" s="5" t="s">
        <v>281</v>
      </c>
      <c r="B56" s="6">
        <v>46311</v>
      </c>
      <c r="C56" s="5" t="s">
        <v>278</v>
      </c>
      <c r="D56" s="5" t="s">
        <v>162</v>
      </c>
      <c r="E56" s="5" t="s">
        <v>228</v>
      </c>
      <c r="F56" s="5" t="s">
        <v>78</v>
      </c>
      <c r="G56" s="5">
        <v>8</v>
      </c>
      <c r="H56" s="5" t="s">
        <v>110</v>
      </c>
      <c r="I56" s="5" t="s">
        <v>80</v>
      </c>
      <c r="J56" s="5" t="s">
        <v>81</v>
      </c>
      <c r="K56" s="5" t="s">
        <v>127</v>
      </c>
      <c r="L56" s="5">
        <v>2</v>
      </c>
      <c r="M56" s="5" t="s">
        <v>167</v>
      </c>
      <c r="N56" s="5" t="s">
        <v>84</v>
      </c>
      <c r="O56" s="5">
        <v>8</v>
      </c>
      <c r="P56" s="5" t="s">
        <v>85</v>
      </c>
      <c r="Q56" s="5">
        <v>6</v>
      </c>
      <c r="R56" s="5">
        <v>14</v>
      </c>
      <c r="S56" s="5" t="s">
        <v>86</v>
      </c>
      <c r="T56" s="5" t="s">
        <v>114</v>
      </c>
      <c r="U56" s="5" t="s">
        <v>140</v>
      </c>
      <c r="V56" s="5">
        <v>2540</v>
      </c>
      <c r="W56" s="5" t="s">
        <v>219</v>
      </c>
      <c r="X56" s="5" t="s">
        <v>116</v>
      </c>
      <c r="Y56" s="5" t="s">
        <v>90</v>
      </c>
      <c r="Z56" s="5" t="s">
        <v>168</v>
      </c>
      <c r="AA56" s="5" t="s">
        <v>78</v>
      </c>
      <c r="AB56" s="5" t="s">
        <v>282</v>
      </c>
      <c r="AC56" s="5" t="s">
        <v>94</v>
      </c>
      <c r="AD56" s="5" t="s">
        <v>119</v>
      </c>
      <c r="AE56" s="5" t="s">
        <v>84</v>
      </c>
      <c r="AF56" s="5" t="s">
        <v>132</v>
      </c>
      <c r="AG56" s="5" t="s">
        <v>133</v>
      </c>
      <c r="AH56" s="5" t="s">
        <v>97</v>
      </c>
      <c r="AI56" s="5" t="s">
        <v>78</v>
      </c>
      <c r="AJ56" s="5" t="s">
        <v>216</v>
      </c>
      <c r="AK56" s="5" t="s">
        <v>121</v>
      </c>
      <c r="AL56" s="5" t="s">
        <v>283</v>
      </c>
      <c r="AM56" s="5">
        <v>4700</v>
      </c>
      <c r="AN56" s="5" t="s">
        <v>92</v>
      </c>
      <c r="AO56" s="5" t="s">
        <v>101</v>
      </c>
      <c r="AP56" s="5" t="s">
        <v>101</v>
      </c>
      <c r="AQ56" s="5" t="s">
        <v>101</v>
      </c>
      <c r="AR56" s="5" t="s">
        <v>101</v>
      </c>
      <c r="AS56" s="5"/>
      <c r="AT56" s="5" t="s">
        <v>103</v>
      </c>
      <c r="AU56" s="5" t="s">
        <v>104</v>
      </c>
      <c r="AV56" s="5" t="s">
        <v>104</v>
      </c>
      <c r="AW56" s="5" t="s">
        <v>101</v>
      </c>
      <c r="AX56" s="5" t="s">
        <v>106</v>
      </c>
      <c r="AY56" s="5">
        <v>6000</v>
      </c>
      <c r="AZ56" s="5">
        <v>10000</v>
      </c>
      <c r="BA56" s="5">
        <v>4250</v>
      </c>
      <c r="BB56" s="5">
        <v>3460</v>
      </c>
      <c r="BC56" s="5">
        <v>0.42299999999999999</v>
      </c>
      <c r="BD56" s="5">
        <v>0.95799999999999996</v>
      </c>
      <c r="BE56" s="5">
        <v>0.85699999999999998</v>
      </c>
      <c r="BF56" s="5">
        <v>14982</v>
      </c>
      <c r="BG56" s="5">
        <v>0.314</v>
      </c>
      <c r="BH56" s="5">
        <v>5</v>
      </c>
      <c r="BI56" s="5">
        <v>3</v>
      </c>
      <c r="BJ56" s="5">
        <v>3</v>
      </c>
      <c r="BK56" s="5">
        <v>0</v>
      </c>
      <c r="BL56" s="5" t="s">
        <v>107</v>
      </c>
      <c r="BM56" s="5">
        <v>0</v>
      </c>
      <c r="BN56" s="5">
        <v>4.33</v>
      </c>
      <c r="BO56" s="5">
        <v>5650</v>
      </c>
      <c r="BP56" s="5">
        <v>24300</v>
      </c>
    </row>
    <row r="57" spans="1:68" x14ac:dyDescent="0.3">
      <c r="A57" s="5" t="s">
        <v>284</v>
      </c>
      <c r="B57" s="6">
        <v>46311</v>
      </c>
      <c r="C57" s="5" t="s">
        <v>278</v>
      </c>
      <c r="D57" s="5" t="s">
        <v>109</v>
      </c>
      <c r="E57" s="5" t="s">
        <v>187</v>
      </c>
      <c r="F57" s="5" t="s">
        <v>78</v>
      </c>
      <c r="G57" s="5">
        <v>9</v>
      </c>
      <c r="H57" s="5" t="s">
        <v>79</v>
      </c>
      <c r="I57" s="5" t="s">
        <v>80</v>
      </c>
      <c r="J57" s="5" t="s">
        <v>163</v>
      </c>
      <c r="K57" s="5" t="s">
        <v>127</v>
      </c>
      <c r="L57" s="5">
        <v>4</v>
      </c>
      <c r="M57" s="5" t="s">
        <v>173</v>
      </c>
      <c r="N57" s="5" t="s">
        <v>84</v>
      </c>
      <c r="O57" s="5">
        <v>3</v>
      </c>
      <c r="P57" s="5" t="s">
        <v>85</v>
      </c>
      <c r="Q57" s="5">
        <v>6</v>
      </c>
      <c r="R57" s="5">
        <v>12</v>
      </c>
      <c r="S57" s="5" t="s">
        <v>86</v>
      </c>
      <c r="T57" s="5" t="s">
        <v>114</v>
      </c>
      <c r="U57" s="5" t="s">
        <v>140</v>
      </c>
      <c r="V57" s="5">
        <v>2290</v>
      </c>
      <c r="W57" s="5" t="s">
        <v>285</v>
      </c>
      <c r="X57" s="5" t="s">
        <v>116</v>
      </c>
      <c r="Y57" s="5" t="s">
        <v>90</v>
      </c>
      <c r="Z57" s="5" t="s">
        <v>91</v>
      </c>
      <c r="AA57" s="5" t="s">
        <v>92</v>
      </c>
      <c r="AB57" s="5" t="s">
        <v>93</v>
      </c>
      <c r="AC57" s="5" t="s">
        <v>94</v>
      </c>
      <c r="AD57" s="5" t="s">
        <v>95</v>
      </c>
      <c r="AE57" s="5" t="s">
        <v>84</v>
      </c>
      <c r="AF57" s="5" t="s">
        <v>132</v>
      </c>
      <c r="AG57" s="5" t="s">
        <v>96</v>
      </c>
      <c r="AH57" s="5" t="s">
        <v>97</v>
      </c>
      <c r="AI57" s="5" t="s">
        <v>78</v>
      </c>
      <c r="AJ57" s="5" t="s">
        <v>216</v>
      </c>
      <c r="AK57" s="5" t="s">
        <v>121</v>
      </c>
      <c r="AL57" s="5" t="s">
        <v>199</v>
      </c>
      <c r="AM57" s="5">
        <v>2400</v>
      </c>
      <c r="AN57" s="5" t="s">
        <v>92</v>
      </c>
      <c r="AO57" s="5" t="s">
        <v>101</v>
      </c>
      <c r="AP57" s="5" t="s">
        <v>101</v>
      </c>
      <c r="AQ57" s="5" t="s">
        <v>101</v>
      </c>
      <c r="AR57" s="5" t="s">
        <v>101</v>
      </c>
      <c r="AS57" s="5"/>
      <c r="AT57" s="5" t="s">
        <v>104</v>
      </c>
      <c r="AU57" s="5" t="s">
        <v>153</v>
      </c>
      <c r="AV57" s="5" t="s">
        <v>104</v>
      </c>
      <c r="AW57" s="5" t="s">
        <v>101</v>
      </c>
      <c r="AX57" s="5" t="s">
        <v>106</v>
      </c>
      <c r="AY57" s="5">
        <v>6000</v>
      </c>
      <c r="AZ57" s="5">
        <v>10000</v>
      </c>
      <c r="BA57" s="5">
        <v>4250</v>
      </c>
      <c r="BB57" s="5">
        <v>3710</v>
      </c>
      <c r="BC57" s="5">
        <v>0.38200000000000001</v>
      </c>
      <c r="BD57" s="5">
        <v>0.95799999999999996</v>
      </c>
      <c r="BE57" s="5">
        <v>0.85699999999999998</v>
      </c>
      <c r="BF57" s="5">
        <v>16064</v>
      </c>
      <c r="BG57" s="5">
        <v>0.14899999999999999</v>
      </c>
      <c r="BH57" s="5">
        <v>0</v>
      </c>
      <c r="BI57" s="5">
        <v>2</v>
      </c>
      <c r="BJ57" s="5">
        <v>1</v>
      </c>
      <c r="BK57" s="5">
        <v>0</v>
      </c>
      <c r="BL57" s="5" t="s">
        <v>107</v>
      </c>
      <c r="BM57" s="5">
        <v>0</v>
      </c>
      <c r="BN57" s="5">
        <v>3.67</v>
      </c>
      <c r="BO57" s="5">
        <v>6710</v>
      </c>
      <c r="BP57" s="5">
        <v>28900</v>
      </c>
    </row>
    <row r="58" spans="1:68" x14ac:dyDescent="0.3">
      <c r="A58" s="5" t="s">
        <v>286</v>
      </c>
      <c r="B58" s="6">
        <v>46311</v>
      </c>
      <c r="C58" s="5" t="s">
        <v>278</v>
      </c>
      <c r="D58" s="5" t="s">
        <v>162</v>
      </c>
      <c r="E58" s="5" t="s">
        <v>138</v>
      </c>
      <c r="F58" s="5" t="s">
        <v>78</v>
      </c>
      <c r="G58" s="5">
        <v>8</v>
      </c>
      <c r="H58" s="5" t="s">
        <v>110</v>
      </c>
      <c r="I58" s="5" t="s">
        <v>80</v>
      </c>
      <c r="J58" s="5" t="s">
        <v>81</v>
      </c>
      <c r="K58" s="5" t="s">
        <v>82</v>
      </c>
      <c r="L58" s="5">
        <v>3</v>
      </c>
      <c r="M58" s="5" t="s">
        <v>167</v>
      </c>
      <c r="N58" s="5" t="s">
        <v>84</v>
      </c>
      <c r="O58" s="5">
        <v>11</v>
      </c>
      <c r="P58" s="5" t="s">
        <v>198</v>
      </c>
      <c r="Q58" s="5">
        <v>6</v>
      </c>
      <c r="R58" s="5">
        <v>8</v>
      </c>
      <c r="S58" s="5" t="s">
        <v>140</v>
      </c>
      <c r="T58" s="5" t="s">
        <v>86</v>
      </c>
      <c r="U58" s="5" t="s">
        <v>88</v>
      </c>
      <c r="V58" s="5">
        <v>140</v>
      </c>
      <c r="W58" s="5" t="s">
        <v>219</v>
      </c>
      <c r="X58" s="5" t="s">
        <v>116</v>
      </c>
      <c r="Y58" s="5" t="s">
        <v>90</v>
      </c>
      <c r="Z58" s="5" t="s">
        <v>168</v>
      </c>
      <c r="AA58" s="5" t="s">
        <v>92</v>
      </c>
      <c r="AB58" s="5" t="s">
        <v>93</v>
      </c>
      <c r="AC58" s="5" t="s">
        <v>118</v>
      </c>
      <c r="AD58" s="5" t="s">
        <v>95</v>
      </c>
      <c r="AE58" s="5" t="s">
        <v>169</v>
      </c>
      <c r="AF58" s="5" t="s">
        <v>92</v>
      </c>
      <c r="AG58" s="5" t="s">
        <v>181</v>
      </c>
      <c r="AH58" s="5" t="s">
        <v>120</v>
      </c>
      <c r="AI58" s="5" t="s">
        <v>92</v>
      </c>
      <c r="AJ58" s="5" t="s">
        <v>98</v>
      </c>
      <c r="AK58" s="5" t="s">
        <v>99</v>
      </c>
      <c r="AL58" s="5" t="s">
        <v>269</v>
      </c>
      <c r="AM58" s="5">
        <v>0</v>
      </c>
      <c r="AN58" s="5" t="s">
        <v>122</v>
      </c>
      <c r="AO58" s="5" t="s">
        <v>101</v>
      </c>
      <c r="AP58" s="5" t="s">
        <v>101</v>
      </c>
      <c r="AQ58" s="5" t="s">
        <v>101</v>
      </c>
      <c r="AR58" s="5" t="s">
        <v>101</v>
      </c>
      <c r="AS58" s="5"/>
      <c r="AT58" s="5" t="s">
        <v>104</v>
      </c>
      <c r="AU58" s="5" t="s">
        <v>104</v>
      </c>
      <c r="AV58" s="5" t="s">
        <v>220</v>
      </c>
      <c r="AW58" s="5" t="s">
        <v>105</v>
      </c>
      <c r="AX58" s="5" t="s">
        <v>106</v>
      </c>
      <c r="AY58" s="5">
        <v>4250</v>
      </c>
      <c r="AZ58" s="5">
        <v>6000</v>
      </c>
      <c r="BA58" s="5">
        <v>2750</v>
      </c>
      <c r="BB58" s="5">
        <v>4110</v>
      </c>
      <c r="BC58" s="5">
        <v>3.3000000000000002E-2</v>
      </c>
      <c r="BD58" s="5">
        <v>0.76500000000000001</v>
      </c>
      <c r="BE58" s="5">
        <v>0.85699999999999998</v>
      </c>
      <c r="BF58" s="5">
        <v>17796</v>
      </c>
      <c r="BG58" s="5">
        <v>0</v>
      </c>
      <c r="BH58" s="5">
        <v>0</v>
      </c>
      <c r="BI58" s="5">
        <v>3</v>
      </c>
      <c r="BJ58" s="5">
        <v>1</v>
      </c>
      <c r="BK58" s="5">
        <v>0</v>
      </c>
      <c r="BL58" s="5" t="s">
        <v>107</v>
      </c>
      <c r="BM58" s="5">
        <v>1</v>
      </c>
      <c r="BN58" s="5">
        <v>3</v>
      </c>
      <c r="BO58" s="5">
        <v>4390</v>
      </c>
      <c r="BP58" s="5">
        <v>18900</v>
      </c>
    </row>
    <row r="59" spans="1:68" x14ac:dyDescent="0.3">
      <c r="A59" s="5" t="s">
        <v>287</v>
      </c>
      <c r="B59" s="6">
        <v>46311</v>
      </c>
      <c r="C59" s="5" t="s">
        <v>278</v>
      </c>
      <c r="D59" s="5" t="s">
        <v>137</v>
      </c>
      <c r="E59" s="5" t="s">
        <v>187</v>
      </c>
      <c r="F59" s="5" t="s">
        <v>78</v>
      </c>
      <c r="G59" s="5">
        <v>9</v>
      </c>
      <c r="H59" s="5" t="s">
        <v>79</v>
      </c>
      <c r="I59" s="5" t="s">
        <v>125</v>
      </c>
      <c r="J59" s="5" t="s">
        <v>178</v>
      </c>
      <c r="K59" s="5" t="s">
        <v>82</v>
      </c>
      <c r="L59" s="5">
        <v>5</v>
      </c>
      <c r="M59" s="5" t="s">
        <v>197</v>
      </c>
      <c r="N59" s="5" t="s">
        <v>84</v>
      </c>
      <c r="O59" s="5">
        <v>8</v>
      </c>
      <c r="P59" s="5" t="s">
        <v>113</v>
      </c>
      <c r="Q59" s="5">
        <v>7</v>
      </c>
      <c r="R59" s="5">
        <v>11</v>
      </c>
      <c r="S59" s="5" t="s">
        <v>87</v>
      </c>
      <c r="T59" s="5" t="s">
        <v>114</v>
      </c>
      <c r="U59" s="5" t="s">
        <v>140</v>
      </c>
      <c r="V59" s="5">
        <v>2160</v>
      </c>
      <c r="W59" s="5"/>
      <c r="X59" s="5" t="s">
        <v>116</v>
      </c>
      <c r="Y59" s="5" t="s">
        <v>90</v>
      </c>
      <c r="Z59" s="5" t="s">
        <v>91</v>
      </c>
      <c r="AA59" s="5" t="s">
        <v>92</v>
      </c>
      <c r="AB59" s="5" t="s">
        <v>93</v>
      </c>
      <c r="AC59" s="5" t="s">
        <v>94</v>
      </c>
      <c r="AD59" s="5" t="s">
        <v>95</v>
      </c>
      <c r="AE59" s="5" t="s">
        <v>169</v>
      </c>
      <c r="AF59" s="5" t="s">
        <v>92</v>
      </c>
      <c r="AG59" s="5" t="s">
        <v>96</v>
      </c>
      <c r="AH59" s="5" t="s">
        <v>120</v>
      </c>
      <c r="AI59" s="5" t="s">
        <v>92</v>
      </c>
      <c r="AJ59" s="5" t="s">
        <v>98</v>
      </c>
      <c r="AK59" s="5" t="s">
        <v>229</v>
      </c>
      <c r="AL59" s="5" t="s">
        <v>107</v>
      </c>
      <c r="AM59" s="5">
        <v>0</v>
      </c>
      <c r="AN59" s="5" t="s">
        <v>122</v>
      </c>
      <c r="AO59" s="5" t="s">
        <v>101</v>
      </c>
      <c r="AP59" s="5" t="s">
        <v>101</v>
      </c>
      <c r="AQ59" s="5" t="s">
        <v>101</v>
      </c>
      <c r="AR59" s="5" t="s">
        <v>101</v>
      </c>
      <c r="AS59" s="5"/>
      <c r="AT59" s="5" t="s">
        <v>104</v>
      </c>
      <c r="AU59" s="5" t="s">
        <v>104</v>
      </c>
      <c r="AV59" s="5" t="s">
        <v>153</v>
      </c>
      <c r="AW59" s="5" t="s">
        <v>101</v>
      </c>
      <c r="AX59" s="5" t="s">
        <v>106</v>
      </c>
      <c r="AY59" s="5">
        <v>8000</v>
      </c>
      <c r="AZ59" s="5">
        <v>10000</v>
      </c>
      <c r="BA59" s="5">
        <v>4250</v>
      </c>
      <c r="BB59" s="5">
        <v>5840</v>
      </c>
      <c r="BC59" s="5">
        <v>0.27</v>
      </c>
      <c r="BD59" s="5">
        <v>0.71899999999999997</v>
      </c>
      <c r="BE59" s="5">
        <v>1</v>
      </c>
      <c r="BF59" s="5">
        <v>25287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 t="s">
        <v>107</v>
      </c>
      <c r="BM59" s="5">
        <v>1</v>
      </c>
      <c r="BN59" s="5">
        <v>3.67</v>
      </c>
      <c r="BO59" s="5">
        <v>7090</v>
      </c>
      <c r="BP59" s="5">
        <v>30500</v>
      </c>
    </row>
    <row r="60" spans="1:68" x14ac:dyDescent="0.3">
      <c r="A60" s="5" t="s">
        <v>288</v>
      </c>
      <c r="B60" s="6">
        <v>46311</v>
      </c>
      <c r="C60" s="5" t="s">
        <v>278</v>
      </c>
      <c r="D60" s="5" t="s">
        <v>124</v>
      </c>
      <c r="E60" s="5" t="s">
        <v>77</v>
      </c>
      <c r="F60" s="5" t="s">
        <v>78</v>
      </c>
      <c r="G60" s="5">
        <v>8</v>
      </c>
      <c r="H60" s="5" t="s">
        <v>156</v>
      </c>
      <c r="I60" s="5" t="s">
        <v>80</v>
      </c>
      <c r="J60" s="5" t="s">
        <v>81</v>
      </c>
      <c r="K60" s="5" t="s">
        <v>111</v>
      </c>
      <c r="L60" s="5">
        <v>3</v>
      </c>
      <c r="M60" s="5" t="s">
        <v>128</v>
      </c>
      <c r="N60" s="5" t="s">
        <v>169</v>
      </c>
      <c r="O60" s="5">
        <v>12</v>
      </c>
      <c r="P60" s="5" t="s">
        <v>85</v>
      </c>
      <c r="Q60" s="5">
        <v>7</v>
      </c>
      <c r="R60" s="5">
        <v>12</v>
      </c>
      <c r="S60" s="5" t="s">
        <v>87</v>
      </c>
      <c r="T60" s="5" t="s">
        <v>114</v>
      </c>
      <c r="U60" s="5" t="s">
        <v>86</v>
      </c>
      <c r="V60" s="5">
        <v>2490</v>
      </c>
      <c r="W60" s="5"/>
      <c r="X60" s="5" t="s">
        <v>142</v>
      </c>
      <c r="Y60" s="5" t="s">
        <v>90</v>
      </c>
      <c r="Z60" s="5" t="s">
        <v>168</v>
      </c>
      <c r="AA60" s="5" t="s">
        <v>78</v>
      </c>
      <c r="AB60" s="5" t="s">
        <v>158</v>
      </c>
      <c r="AC60" s="5" t="s">
        <v>118</v>
      </c>
      <c r="AD60" s="5" t="s">
        <v>95</v>
      </c>
      <c r="AE60" s="5" t="s">
        <v>84</v>
      </c>
      <c r="AF60" s="5" t="s">
        <v>144</v>
      </c>
      <c r="AG60" s="5" t="s">
        <v>96</v>
      </c>
      <c r="AH60" s="5" t="s">
        <v>97</v>
      </c>
      <c r="AI60" s="5" t="s">
        <v>92</v>
      </c>
      <c r="AJ60" s="5" t="s">
        <v>98</v>
      </c>
      <c r="AK60" s="5" t="s">
        <v>99</v>
      </c>
      <c r="AL60" s="5" t="s">
        <v>182</v>
      </c>
      <c r="AM60" s="5">
        <v>3100</v>
      </c>
      <c r="AN60" s="5" t="s">
        <v>92</v>
      </c>
      <c r="AO60" s="5" t="s">
        <v>101</v>
      </c>
      <c r="AP60" s="5" t="s">
        <v>101</v>
      </c>
      <c r="AQ60" s="5" t="s">
        <v>101</v>
      </c>
      <c r="AR60" s="5" t="s">
        <v>101</v>
      </c>
      <c r="AS60" s="5"/>
      <c r="AT60" s="5" t="s">
        <v>103</v>
      </c>
      <c r="AU60" s="5" t="s">
        <v>153</v>
      </c>
      <c r="AV60" s="5" t="s">
        <v>220</v>
      </c>
      <c r="AW60" s="5" t="s">
        <v>105</v>
      </c>
      <c r="AX60" s="5" t="s">
        <v>106</v>
      </c>
      <c r="AY60" s="5">
        <v>8000</v>
      </c>
      <c r="AZ60" s="5">
        <v>10000</v>
      </c>
      <c r="BA60" s="5">
        <v>6000</v>
      </c>
      <c r="BB60" s="5">
        <v>5510</v>
      </c>
      <c r="BC60" s="5">
        <v>0.311</v>
      </c>
      <c r="BD60" s="5">
        <v>0.5</v>
      </c>
      <c r="BE60" s="5">
        <v>1</v>
      </c>
      <c r="BF60" s="5">
        <v>23858</v>
      </c>
      <c r="BG60" s="5">
        <v>0.13</v>
      </c>
      <c r="BH60" s="5">
        <v>1.5</v>
      </c>
      <c r="BI60" s="5">
        <v>0</v>
      </c>
      <c r="BJ60" s="5">
        <v>2</v>
      </c>
      <c r="BK60" s="5">
        <v>0</v>
      </c>
      <c r="BL60" s="5" t="s">
        <v>107</v>
      </c>
      <c r="BM60" s="5">
        <v>0</v>
      </c>
      <c r="BN60" s="5">
        <v>3</v>
      </c>
      <c r="BO60" s="5">
        <v>7430</v>
      </c>
      <c r="BP60" s="5">
        <v>32000</v>
      </c>
    </row>
    <row r="61" spans="1:68" x14ac:dyDescent="0.3">
      <c r="A61" s="5" t="s">
        <v>289</v>
      </c>
      <c r="B61" s="6">
        <v>46311</v>
      </c>
      <c r="C61" s="5" t="s">
        <v>278</v>
      </c>
      <c r="D61" s="5" t="s">
        <v>155</v>
      </c>
      <c r="E61" s="5" t="s">
        <v>138</v>
      </c>
      <c r="F61" s="5" t="s">
        <v>78</v>
      </c>
      <c r="G61" s="5">
        <v>7</v>
      </c>
      <c r="H61" s="5" t="s">
        <v>79</v>
      </c>
      <c r="I61" s="5" t="s">
        <v>80</v>
      </c>
      <c r="J61" s="5" t="s">
        <v>163</v>
      </c>
      <c r="K61" s="5" t="s">
        <v>111</v>
      </c>
      <c r="L61" s="5">
        <v>2</v>
      </c>
      <c r="M61" s="5" t="s">
        <v>128</v>
      </c>
      <c r="N61" s="5" t="s">
        <v>84</v>
      </c>
      <c r="O61" s="5">
        <v>16</v>
      </c>
      <c r="P61" s="5" t="s">
        <v>85</v>
      </c>
      <c r="Q61" s="5">
        <v>7</v>
      </c>
      <c r="R61" s="5">
        <v>5</v>
      </c>
      <c r="S61" s="5" t="s">
        <v>88</v>
      </c>
      <c r="T61" s="5" t="s">
        <v>140</v>
      </c>
      <c r="U61" s="5" t="s">
        <v>129</v>
      </c>
      <c r="V61" s="5">
        <v>1070</v>
      </c>
      <c r="W61" s="5"/>
      <c r="X61" s="5" t="s">
        <v>116</v>
      </c>
      <c r="Y61" s="5" t="s">
        <v>117</v>
      </c>
      <c r="Z61" s="5" t="s">
        <v>91</v>
      </c>
      <c r="AA61" s="5" t="s">
        <v>92</v>
      </c>
      <c r="AB61" s="5" t="s">
        <v>93</v>
      </c>
      <c r="AC61" s="5" t="s">
        <v>94</v>
      </c>
      <c r="AD61" s="5" t="s">
        <v>95</v>
      </c>
      <c r="AE61" s="5" t="s">
        <v>169</v>
      </c>
      <c r="AF61" s="5" t="s">
        <v>144</v>
      </c>
      <c r="AG61" s="5" t="s">
        <v>133</v>
      </c>
      <c r="AH61" s="5" t="s">
        <v>120</v>
      </c>
      <c r="AI61" s="5" t="s">
        <v>92</v>
      </c>
      <c r="AJ61" s="5" t="s">
        <v>98</v>
      </c>
      <c r="AK61" s="5" t="s">
        <v>134</v>
      </c>
      <c r="AL61" s="5" t="s">
        <v>100</v>
      </c>
      <c r="AM61" s="5">
        <v>4000</v>
      </c>
      <c r="AN61" s="5" t="s">
        <v>78</v>
      </c>
      <c r="AO61" s="5" t="s">
        <v>223</v>
      </c>
      <c r="AP61" s="5" t="s">
        <v>290</v>
      </c>
      <c r="AQ61" s="5" t="s">
        <v>92</v>
      </c>
      <c r="AR61" s="5" t="s">
        <v>78</v>
      </c>
      <c r="AS61" s="5"/>
      <c r="AT61" s="5" t="s">
        <v>102</v>
      </c>
      <c r="AU61" s="5" t="s">
        <v>153</v>
      </c>
      <c r="AV61" s="5" t="s">
        <v>103</v>
      </c>
      <c r="AW61" s="5" t="s">
        <v>160</v>
      </c>
      <c r="AX61" s="5" t="s">
        <v>106</v>
      </c>
      <c r="AY61" s="5">
        <v>2750</v>
      </c>
      <c r="AZ61" s="5">
        <v>4250</v>
      </c>
      <c r="BA61" s="5">
        <v>1500</v>
      </c>
      <c r="BB61" s="5">
        <v>1680</v>
      </c>
      <c r="BC61" s="5">
        <v>0.38900000000000001</v>
      </c>
      <c r="BD61" s="5">
        <v>1</v>
      </c>
      <c r="BE61" s="5">
        <v>1</v>
      </c>
      <c r="BF61" s="5">
        <v>7274</v>
      </c>
      <c r="BG61" s="5">
        <v>0.55000000000000004</v>
      </c>
      <c r="BH61" s="5">
        <v>0</v>
      </c>
      <c r="BI61" s="5">
        <v>0</v>
      </c>
      <c r="BJ61" s="5">
        <v>1</v>
      </c>
      <c r="BK61" s="5">
        <v>1</v>
      </c>
      <c r="BL61" s="5" t="s">
        <v>224</v>
      </c>
      <c r="BM61" s="5">
        <v>1</v>
      </c>
      <c r="BN61" s="5">
        <v>3.33</v>
      </c>
      <c r="BO61" s="5">
        <v>2380</v>
      </c>
      <c r="BP61" s="5">
        <v>10200</v>
      </c>
    </row>
    <row r="62" spans="1:68" x14ac:dyDescent="0.3">
      <c r="A62" s="5" t="s">
        <v>291</v>
      </c>
      <c r="B62" s="6">
        <v>46316</v>
      </c>
      <c r="C62" s="5" t="s">
        <v>278</v>
      </c>
      <c r="D62" s="5" t="s">
        <v>76</v>
      </c>
      <c r="E62" s="5" t="s">
        <v>77</v>
      </c>
      <c r="F62" s="5" t="s">
        <v>78</v>
      </c>
      <c r="G62" s="5">
        <v>9</v>
      </c>
      <c r="H62" s="5" t="s">
        <v>110</v>
      </c>
      <c r="I62" s="5" t="s">
        <v>80</v>
      </c>
      <c r="J62" s="5" t="s">
        <v>81</v>
      </c>
      <c r="K62" s="5" t="s">
        <v>82</v>
      </c>
      <c r="L62" s="5">
        <v>0</v>
      </c>
      <c r="M62" s="5" t="s">
        <v>83</v>
      </c>
      <c r="N62" s="5" t="s">
        <v>84</v>
      </c>
      <c r="O62" s="5">
        <v>14</v>
      </c>
      <c r="P62" s="5" t="s">
        <v>149</v>
      </c>
      <c r="Q62" s="5">
        <v>5</v>
      </c>
      <c r="R62" s="5">
        <v>6</v>
      </c>
      <c r="S62" s="5" t="s">
        <v>88</v>
      </c>
      <c r="T62" s="5" t="s">
        <v>86</v>
      </c>
      <c r="U62" s="5" t="s">
        <v>88</v>
      </c>
      <c r="V62" s="5">
        <v>840</v>
      </c>
      <c r="W62" s="5" t="s">
        <v>235</v>
      </c>
      <c r="X62" s="5" t="s">
        <v>142</v>
      </c>
      <c r="Y62" s="5" t="s">
        <v>117</v>
      </c>
      <c r="Z62" s="5" t="s">
        <v>91</v>
      </c>
      <c r="AA62" s="5" t="s">
        <v>92</v>
      </c>
      <c r="AB62" s="5" t="s">
        <v>93</v>
      </c>
      <c r="AC62" s="5" t="s">
        <v>118</v>
      </c>
      <c r="AD62" s="5" t="s">
        <v>95</v>
      </c>
      <c r="AE62" s="5" t="s">
        <v>169</v>
      </c>
      <c r="AF62" s="5" t="s">
        <v>92</v>
      </c>
      <c r="AG62" s="5" t="s">
        <v>96</v>
      </c>
      <c r="AH62" s="5" t="s">
        <v>97</v>
      </c>
      <c r="AI62" s="5" t="s">
        <v>92</v>
      </c>
      <c r="AJ62" s="5" t="s">
        <v>98</v>
      </c>
      <c r="AK62" s="5" t="s">
        <v>99</v>
      </c>
      <c r="AL62" s="5" t="s">
        <v>107</v>
      </c>
      <c r="AM62" s="5">
        <v>0</v>
      </c>
      <c r="AN62" s="5" t="s">
        <v>122</v>
      </c>
      <c r="AO62" s="5" t="s">
        <v>101</v>
      </c>
      <c r="AP62" s="5" t="s">
        <v>101</v>
      </c>
      <c r="AQ62" s="5" t="s">
        <v>101</v>
      </c>
      <c r="AR62" s="5" t="s">
        <v>101</v>
      </c>
      <c r="AS62" s="5"/>
      <c r="AT62" s="5" t="s">
        <v>104</v>
      </c>
      <c r="AU62" s="5" t="s">
        <v>103</v>
      </c>
      <c r="AV62" s="5" t="s">
        <v>104</v>
      </c>
      <c r="AW62" s="5" t="s">
        <v>101</v>
      </c>
      <c r="AX62" s="5" t="s">
        <v>106</v>
      </c>
      <c r="AY62" s="5">
        <v>2750</v>
      </c>
      <c r="AZ62" s="5">
        <v>6000</v>
      </c>
      <c r="BA62" s="5">
        <v>2750</v>
      </c>
      <c r="BB62" s="5">
        <v>1910</v>
      </c>
      <c r="BC62" s="5">
        <v>0.30499999999999999</v>
      </c>
      <c r="BD62" s="5">
        <v>1.1819999999999999</v>
      </c>
      <c r="BE62" s="5">
        <v>0.71399999999999997</v>
      </c>
      <c r="BF62" s="5">
        <v>8270</v>
      </c>
      <c r="BG62" s="5">
        <v>0</v>
      </c>
      <c r="BH62" s="5">
        <v>0</v>
      </c>
      <c r="BI62" s="5">
        <v>2</v>
      </c>
      <c r="BJ62" s="5">
        <v>0</v>
      </c>
      <c r="BK62" s="5">
        <v>0</v>
      </c>
      <c r="BL62" s="5" t="s">
        <v>107</v>
      </c>
      <c r="BM62" s="5">
        <v>0</v>
      </c>
      <c r="BN62" s="5">
        <v>4.33</v>
      </c>
      <c r="BO62" s="5">
        <v>3420</v>
      </c>
      <c r="BP62" s="5">
        <v>14700</v>
      </c>
    </row>
    <row r="63" spans="1:68" x14ac:dyDescent="0.3">
      <c r="A63" s="5" t="s">
        <v>292</v>
      </c>
      <c r="B63" s="6">
        <v>46311</v>
      </c>
      <c r="C63" s="5" t="s">
        <v>278</v>
      </c>
      <c r="D63" s="5" t="s">
        <v>109</v>
      </c>
      <c r="E63" s="5" t="s">
        <v>187</v>
      </c>
      <c r="F63" s="5" t="s">
        <v>78</v>
      </c>
      <c r="G63" s="5">
        <v>7</v>
      </c>
      <c r="H63" s="5" t="s">
        <v>110</v>
      </c>
      <c r="I63" s="5" t="s">
        <v>80</v>
      </c>
      <c r="J63" s="5" t="s">
        <v>196</v>
      </c>
      <c r="K63" s="5" t="s">
        <v>111</v>
      </c>
      <c r="L63" s="5">
        <v>2</v>
      </c>
      <c r="M63" s="5" t="s">
        <v>173</v>
      </c>
      <c r="N63" s="5" t="s">
        <v>84</v>
      </c>
      <c r="O63" s="5">
        <v>73</v>
      </c>
      <c r="P63" s="5" t="s">
        <v>85</v>
      </c>
      <c r="Q63" s="5">
        <v>6</v>
      </c>
      <c r="R63" s="5">
        <v>6</v>
      </c>
      <c r="S63" s="5" t="s">
        <v>129</v>
      </c>
      <c r="T63" s="5" t="s">
        <v>88</v>
      </c>
      <c r="U63" s="5" t="s">
        <v>129</v>
      </c>
      <c r="V63" s="5">
        <v>740</v>
      </c>
      <c r="W63" s="5" t="s">
        <v>226</v>
      </c>
      <c r="X63" s="5" t="s">
        <v>116</v>
      </c>
      <c r="Y63" s="5" t="s">
        <v>90</v>
      </c>
      <c r="Z63" s="5" t="s">
        <v>91</v>
      </c>
      <c r="AA63" s="5" t="s">
        <v>92</v>
      </c>
      <c r="AB63" s="5" t="s">
        <v>93</v>
      </c>
      <c r="AC63" s="5" t="s">
        <v>118</v>
      </c>
      <c r="AD63" s="5" t="s">
        <v>119</v>
      </c>
      <c r="AE63" s="5" t="s">
        <v>84</v>
      </c>
      <c r="AF63" s="5" t="s">
        <v>144</v>
      </c>
      <c r="AG63" s="5" t="s">
        <v>181</v>
      </c>
      <c r="AH63" s="5" t="s">
        <v>120</v>
      </c>
      <c r="AI63" s="5" t="s">
        <v>92</v>
      </c>
      <c r="AJ63" s="5" t="s">
        <v>98</v>
      </c>
      <c r="AK63" s="5" t="s">
        <v>211</v>
      </c>
      <c r="AL63" s="5" t="s">
        <v>293</v>
      </c>
      <c r="AM63" s="5">
        <v>3400</v>
      </c>
      <c r="AN63" s="5" t="s">
        <v>92</v>
      </c>
      <c r="AO63" s="5" t="s">
        <v>101</v>
      </c>
      <c r="AP63" s="5" t="s">
        <v>101</v>
      </c>
      <c r="AQ63" s="5" t="s">
        <v>101</v>
      </c>
      <c r="AR63" s="5" t="s">
        <v>101</v>
      </c>
      <c r="AS63" s="5">
        <v>3</v>
      </c>
      <c r="AT63" s="5" t="s">
        <v>104</v>
      </c>
      <c r="AU63" s="5" t="s">
        <v>104</v>
      </c>
      <c r="AV63" s="5" t="s">
        <v>103</v>
      </c>
      <c r="AW63" s="5" t="s">
        <v>101</v>
      </c>
      <c r="AX63" s="5" t="s">
        <v>106</v>
      </c>
      <c r="AY63" s="5">
        <v>1500</v>
      </c>
      <c r="AZ63" s="5">
        <v>2750</v>
      </c>
      <c r="BA63" s="5">
        <v>1500</v>
      </c>
      <c r="BB63" s="5">
        <v>760</v>
      </c>
      <c r="BC63" s="5">
        <v>0.49299999999999999</v>
      </c>
      <c r="BD63" s="5">
        <v>0.83299999999999996</v>
      </c>
      <c r="BE63" s="5">
        <v>0.85699999999999998</v>
      </c>
      <c r="BF63" s="5">
        <v>3291</v>
      </c>
      <c r="BG63" s="5">
        <v>1.0329999999999999</v>
      </c>
      <c r="BH63" s="5">
        <v>0</v>
      </c>
      <c r="BI63" s="5">
        <v>1</v>
      </c>
      <c r="BJ63" s="5">
        <v>3</v>
      </c>
      <c r="BK63" s="5">
        <v>0</v>
      </c>
      <c r="BL63" s="5" t="s">
        <v>107</v>
      </c>
      <c r="BM63" s="5">
        <v>1</v>
      </c>
      <c r="BN63" s="5">
        <v>4.33</v>
      </c>
      <c r="BO63" s="5">
        <v>1650</v>
      </c>
      <c r="BP63" s="5">
        <v>7100</v>
      </c>
    </row>
    <row r="64" spans="1:68" x14ac:dyDescent="0.3">
      <c r="A64" s="5" t="s">
        <v>294</v>
      </c>
      <c r="B64" s="6">
        <v>46311</v>
      </c>
      <c r="C64" s="5" t="s">
        <v>278</v>
      </c>
      <c r="D64" s="5" t="s">
        <v>137</v>
      </c>
      <c r="E64" s="5" t="s">
        <v>77</v>
      </c>
      <c r="F64" s="5" t="s">
        <v>78</v>
      </c>
      <c r="G64" s="5">
        <v>9</v>
      </c>
      <c r="H64" s="5" t="s">
        <v>156</v>
      </c>
      <c r="I64" s="5" t="s">
        <v>80</v>
      </c>
      <c r="J64" s="5" t="s">
        <v>163</v>
      </c>
      <c r="K64" s="5" t="s">
        <v>111</v>
      </c>
      <c r="L64" s="5">
        <v>2</v>
      </c>
      <c r="M64" s="5" t="s">
        <v>197</v>
      </c>
      <c r="N64" s="5" t="s">
        <v>84</v>
      </c>
      <c r="O64" s="5">
        <v>18</v>
      </c>
      <c r="P64" s="5" t="s">
        <v>113</v>
      </c>
      <c r="Q64" s="5">
        <v>5</v>
      </c>
      <c r="R64" s="5">
        <v>8</v>
      </c>
      <c r="S64" s="5" t="s">
        <v>88</v>
      </c>
      <c r="T64" s="5" t="s">
        <v>140</v>
      </c>
      <c r="U64" s="5" t="s">
        <v>129</v>
      </c>
      <c r="V64" s="5">
        <v>990</v>
      </c>
      <c r="W64" s="5"/>
      <c r="X64" s="5" t="s">
        <v>116</v>
      </c>
      <c r="Y64" s="5" t="s">
        <v>117</v>
      </c>
      <c r="Z64" s="5" t="s">
        <v>143</v>
      </c>
      <c r="AA64" s="5" t="s">
        <v>92</v>
      </c>
      <c r="AB64" s="5" t="s">
        <v>93</v>
      </c>
      <c r="AC64" s="5" t="s">
        <v>94</v>
      </c>
      <c r="AD64" s="5" t="s">
        <v>95</v>
      </c>
      <c r="AE64" s="5" t="s">
        <v>84</v>
      </c>
      <c r="AF64" s="5" t="s">
        <v>144</v>
      </c>
      <c r="AG64" s="5" t="s">
        <v>96</v>
      </c>
      <c r="AH64" s="5" t="s">
        <v>97</v>
      </c>
      <c r="AI64" s="5" t="s">
        <v>92</v>
      </c>
      <c r="AJ64" s="5" t="s">
        <v>98</v>
      </c>
      <c r="AK64" s="5" t="s">
        <v>229</v>
      </c>
      <c r="AL64" s="5" t="s">
        <v>146</v>
      </c>
      <c r="AM64" s="5">
        <v>0</v>
      </c>
      <c r="AN64" s="5" t="s">
        <v>122</v>
      </c>
      <c r="AO64" s="5" t="s">
        <v>101</v>
      </c>
      <c r="AP64" s="5" t="s">
        <v>101</v>
      </c>
      <c r="AQ64" s="5" t="s">
        <v>101</v>
      </c>
      <c r="AR64" s="5" t="s">
        <v>101</v>
      </c>
      <c r="AS64" s="5"/>
      <c r="AT64" s="5" t="s">
        <v>102</v>
      </c>
      <c r="AU64" s="5" t="s">
        <v>153</v>
      </c>
      <c r="AV64" s="5" t="s">
        <v>104</v>
      </c>
      <c r="AW64" s="5" t="s">
        <v>135</v>
      </c>
      <c r="AX64" s="5" t="s">
        <v>106</v>
      </c>
      <c r="AY64" s="5">
        <v>2750</v>
      </c>
      <c r="AZ64" s="5">
        <v>4250</v>
      </c>
      <c r="BA64" s="5">
        <v>1500</v>
      </c>
      <c r="BB64" s="5">
        <v>1760</v>
      </c>
      <c r="BC64" s="5">
        <v>0.36</v>
      </c>
      <c r="BD64" s="5">
        <v>1</v>
      </c>
      <c r="BE64" s="5">
        <v>0.71399999999999997</v>
      </c>
      <c r="BF64" s="5">
        <v>7621</v>
      </c>
      <c r="BG64" s="5">
        <v>0</v>
      </c>
      <c r="BH64" s="5">
        <v>0</v>
      </c>
      <c r="BI64" s="5">
        <v>0</v>
      </c>
      <c r="BJ64" s="5">
        <v>1</v>
      </c>
      <c r="BK64" s="5">
        <v>0</v>
      </c>
      <c r="BL64" s="5" t="s">
        <v>107</v>
      </c>
      <c r="BM64" s="5">
        <v>0</v>
      </c>
      <c r="BN64" s="5">
        <v>3</v>
      </c>
      <c r="BO64" s="5">
        <v>3170</v>
      </c>
      <c r="BP64" s="5">
        <v>13600</v>
      </c>
    </row>
    <row r="65" spans="1:68" x14ac:dyDescent="0.3">
      <c r="A65" s="5" t="s">
        <v>295</v>
      </c>
      <c r="B65" s="6">
        <v>46311</v>
      </c>
      <c r="C65" s="5" t="s">
        <v>278</v>
      </c>
      <c r="D65" s="5" t="s">
        <v>155</v>
      </c>
      <c r="E65" s="5" t="s">
        <v>77</v>
      </c>
      <c r="F65" s="5" t="s">
        <v>78</v>
      </c>
      <c r="G65" s="5">
        <v>9</v>
      </c>
      <c r="H65" s="5" t="s">
        <v>156</v>
      </c>
      <c r="I65" s="5" t="s">
        <v>80</v>
      </c>
      <c r="J65" s="5" t="s">
        <v>163</v>
      </c>
      <c r="K65" s="5" t="s">
        <v>82</v>
      </c>
      <c r="L65" s="5">
        <v>6</v>
      </c>
      <c r="M65" s="5" t="s">
        <v>128</v>
      </c>
      <c r="N65" s="5" t="s">
        <v>169</v>
      </c>
      <c r="O65" s="5">
        <v>19</v>
      </c>
      <c r="P65" s="5" t="s">
        <v>85</v>
      </c>
      <c r="Q65" s="5">
        <v>6</v>
      </c>
      <c r="R65" s="5">
        <v>3</v>
      </c>
      <c r="S65" s="5" t="s">
        <v>129</v>
      </c>
      <c r="T65" s="5" t="s">
        <v>129</v>
      </c>
      <c r="U65" s="5" t="s">
        <v>129</v>
      </c>
      <c r="V65" s="5">
        <v>580</v>
      </c>
      <c r="W65" s="5" t="s">
        <v>235</v>
      </c>
      <c r="X65" s="5" t="s">
        <v>116</v>
      </c>
      <c r="Y65" s="5" t="s">
        <v>90</v>
      </c>
      <c r="Z65" s="5" t="s">
        <v>168</v>
      </c>
      <c r="AA65" s="5" t="s">
        <v>92</v>
      </c>
      <c r="AB65" s="5" t="s">
        <v>93</v>
      </c>
      <c r="AC65" s="5" t="s">
        <v>215</v>
      </c>
      <c r="AD65" s="5" t="s">
        <v>95</v>
      </c>
      <c r="AE65" s="5" t="s">
        <v>169</v>
      </c>
      <c r="AF65" s="5" t="s">
        <v>92</v>
      </c>
      <c r="AG65" s="5" t="s">
        <v>181</v>
      </c>
      <c r="AH65" s="5" t="s">
        <v>120</v>
      </c>
      <c r="AI65" s="5" t="s">
        <v>92</v>
      </c>
      <c r="AJ65" s="5" t="s">
        <v>98</v>
      </c>
      <c r="AK65" s="5" t="s">
        <v>145</v>
      </c>
      <c r="AL65" s="5" t="s">
        <v>100</v>
      </c>
      <c r="AM65" s="5">
        <v>3000</v>
      </c>
      <c r="AN65" s="5" t="s">
        <v>78</v>
      </c>
      <c r="AO65" s="5" t="s">
        <v>244</v>
      </c>
      <c r="AP65" s="5" t="s">
        <v>256</v>
      </c>
      <c r="AQ65" s="5" t="s">
        <v>92</v>
      </c>
      <c r="AR65" s="5" t="s">
        <v>257</v>
      </c>
      <c r="AS65" s="5"/>
      <c r="AT65" s="5" t="s">
        <v>103</v>
      </c>
      <c r="AU65" s="5" t="s">
        <v>104</v>
      </c>
      <c r="AV65" s="5" t="s">
        <v>104</v>
      </c>
      <c r="AW65" s="5" t="s">
        <v>101</v>
      </c>
      <c r="AX65" s="5" t="s">
        <v>106</v>
      </c>
      <c r="AY65" s="5">
        <v>1500</v>
      </c>
      <c r="AZ65" s="5">
        <v>1500</v>
      </c>
      <c r="BA65" s="5">
        <v>1500</v>
      </c>
      <c r="BB65" s="5">
        <v>920</v>
      </c>
      <c r="BC65" s="5">
        <v>0.38700000000000001</v>
      </c>
      <c r="BD65" s="5">
        <v>0</v>
      </c>
      <c r="BE65" s="5">
        <v>0.85699999999999998</v>
      </c>
      <c r="BF65" s="5">
        <v>3984</v>
      </c>
      <c r="BG65" s="5">
        <v>0.753</v>
      </c>
      <c r="BH65" s="5">
        <v>0</v>
      </c>
      <c r="BI65" s="5">
        <v>2</v>
      </c>
      <c r="BJ65" s="5">
        <v>1</v>
      </c>
      <c r="BK65" s="5">
        <v>1</v>
      </c>
      <c r="BL65" s="5" t="s">
        <v>224</v>
      </c>
      <c r="BM65" s="5">
        <v>1</v>
      </c>
      <c r="BN65" s="5">
        <v>4.33</v>
      </c>
      <c r="BO65" s="5">
        <v>1300</v>
      </c>
      <c r="BP65" s="5">
        <v>5600</v>
      </c>
    </row>
    <row r="66" spans="1:68" x14ac:dyDescent="0.3">
      <c r="A66" s="5" t="s">
        <v>296</v>
      </c>
      <c r="B66" s="6">
        <v>46312</v>
      </c>
      <c r="C66" s="5" t="s">
        <v>297</v>
      </c>
      <c r="D66" s="5" t="s">
        <v>76</v>
      </c>
      <c r="E66" s="5" t="s">
        <v>228</v>
      </c>
      <c r="F66" s="5" t="s">
        <v>78</v>
      </c>
      <c r="G66" s="5">
        <v>9</v>
      </c>
      <c r="H66" s="5" t="s">
        <v>191</v>
      </c>
      <c r="I66" s="5" t="s">
        <v>80</v>
      </c>
      <c r="J66" s="5" t="s">
        <v>163</v>
      </c>
      <c r="K66" s="5" t="s">
        <v>82</v>
      </c>
      <c r="L66" s="5">
        <v>4</v>
      </c>
      <c r="M66" s="5" t="s">
        <v>179</v>
      </c>
      <c r="N66" s="5" t="s">
        <v>84</v>
      </c>
      <c r="O66" s="5">
        <v>12</v>
      </c>
      <c r="P66" s="5" t="s">
        <v>149</v>
      </c>
      <c r="Q66" s="5">
        <v>7</v>
      </c>
      <c r="R66" s="5">
        <v>10</v>
      </c>
      <c r="S66" s="5" t="s">
        <v>87</v>
      </c>
      <c r="T66" s="5" t="s">
        <v>114</v>
      </c>
      <c r="U66" s="5" t="s">
        <v>140</v>
      </c>
      <c r="V66" s="5">
        <v>1770</v>
      </c>
      <c r="W66" s="5"/>
      <c r="X66" s="5" t="s">
        <v>142</v>
      </c>
      <c r="Y66" s="5" t="s">
        <v>298</v>
      </c>
      <c r="Z66" s="5" t="s">
        <v>91</v>
      </c>
      <c r="AA66" s="5" t="s">
        <v>92</v>
      </c>
      <c r="AB66" s="5" t="s">
        <v>93</v>
      </c>
      <c r="AC66" s="5" t="s">
        <v>118</v>
      </c>
      <c r="AD66" s="5" t="s">
        <v>95</v>
      </c>
      <c r="AE66" s="5" t="s">
        <v>84</v>
      </c>
      <c r="AF66" s="5" t="s">
        <v>92</v>
      </c>
      <c r="AG66" s="5" t="s">
        <v>133</v>
      </c>
      <c r="AH66" s="5" t="s">
        <v>97</v>
      </c>
      <c r="AI66" s="5" t="s">
        <v>92</v>
      </c>
      <c r="AJ66" s="5" t="s">
        <v>98</v>
      </c>
      <c r="AK66" s="5" t="s">
        <v>121</v>
      </c>
      <c r="AL66" s="5" t="s">
        <v>107</v>
      </c>
      <c r="AM66" s="5">
        <v>0</v>
      </c>
      <c r="AN66" s="5" t="s">
        <v>122</v>
      </c>
      <c r="AO66" s="5" t="s">
        <v>101</v>
      </c>
      <c r="AP66" s="5" t="s">
        <v>101</v>
      </c>
      <c r="AQ66" s="5" t="s">
        <v>101</v>
      </c>
      <c r="AR66" s="5" t="s">
        <v>101</v>
      </c>
      <c r="AS66" s="5"/>
      <c r="AT66" s="5" t="s">
        <v>103</v>
      </c>
      <c r="AU66" s="5" t="s">
        <v>153</v>
      </c>
      <c r="AV66" s="5" t="s">
        <v>104</v>
      </c>
      <c r="AW66" s="5" t="s">
        <v>101</v>
      </c>
      <c r="AX66" s="5" t="s">
        <v>106</v>
      </c>
      <c r="AY66" s="5">
        <v>8000</v>
      </c>
      <c r="AZ66" s="5">
        <v>10000</v>
      </c>
      <c r="BA66" s="5">
        <v>4250</v>
      </c>
      <c r="BB66" s="5">
        <v>6230</v>
      </c>
      <c r="BC66" s="5">
        <v>0.221</v>
      </c>
      <c r="BD66" s="5">
        <v>0.71899999999999997</v>
      </c>
      <c r="BE66" s="5">
        <v>1</v>
      </c>
      <c r="BF66" s="5">
        <v>26976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 t="s">
        <v>107</v>
      </c>
      <c r="BM66" s="5">
        <v>0</v>
      </c>
      <c r="BN66" s="5">
        <v>4</v>
      </c>
      <c r="BO66" s="5">
        <v>7720</v>
      </c>
      <c r="BP66" s="5">
        <v>33200</v>
      </c>
    </row>
    <row r="67" spans="1:68" x14ac:dyDescent="0.3">
      <c r="A67" s="5" t="s">
        <v>299</v>
      </c>
      <c r="B67" s="6">
        <v>46312</v>
      </c>
      <c r="C67" s="5" t="s">
        <v>297</v>
      </c>
      <c r="D67" s="5" t="s">
        <v>218</v>
      </c>
      <c r="E67" s="5" t="s">
        <v>138</v>
      </c>
      <c r="F67" s="5" t="s">
        <v>78</v>
      </c>
      <c r="G67" s="5">
        <v>7</v>
      </c>
      <c r="H67" s="5" t="s">
        <v>79</v>
      </c>
      <c r="I67" s="5" t="s">
        <v>80</v>
      </c>
      <c r="J67" s="5" t="s">
        <v>178</v>
      </c>
      <c r="K67" s="5" t="s">
        <v>111</v>
      </c>
      <c r="L67" s="5">
        <v>2</v>
      </c>
      <c r="M67" s="5" t="s">
        <v>173</v>
      </c>
      <c r="N67" s="5" t="s">
        <v>84</v>
      </c>
      <c r="O67" s="5">
        <v>71</v>
      </c>
      <c r="P67" s="5" t="s">
        <v>149</v>
      </c>
      <c r="Q67" s="5">
        <v>5</v>
      </c>
      <c r="R67" s="5">
        <v>10</v>
      </c>
      <c r="S67" s="5" t="s">
        <v>88</v>
      </c>
      <c r="T67" s="5" t="s">
        <v>140</v>
      </c>
      <c r="U67" s="5" t="s">
        <v>88</v>
      </c>
      <c r="V67" s="5">
        <v>1310</v>
      </c>
      <c r="W67" s="5"/>
      <c r="X67" s="5" t="s">
        <v>116</v>
      </c>
      <c r="Y67" s="5" t="s">
        <v>117</v>
      </c>
      <c r="Z67" s="5" t="s">
        <v>91</v>
      </c>
      <c r="AA67" s="5" t="s">
        <v>78</v>
      </c>
      <c r="AB67" s="5" t="s">
        <v>158</v>
      </c>
      <c r="AC67" s="5" t="s">
        <v>118</v>
      </c>
      <c r="AD67" s="5" t="s">
        <v>95</v>
      </c>
      <c r="AE67" s="5" t="s">
        <v>169</v>
      </c>
      <c r="AF67" s="5" t="s">
        <v>92</v>
      </c>
      <c r="AG67" s="5" t="s">
        <v>96</v>
      </c>
      <c r="AH67" s="5" t="s">
        <v>120</v>
      </c>
      <c r="AI67" s="5" t="s">
        <v>92</v>
      </c>
      <c r="AJ67" s="5" t="s">
        <v>98</v>
      </c>
      <c r="AK67" s="5" t="s">
        <v>145</v>
      </c>
      <c r="AL67" s="5" t="s">
        <v>107</v>
      </c>
      <c r="AM67" s="5">
        <v>0</v>
      </c>
      <c r="AN67" s="5" t="s">
        <v>122</v>
      </c>
      <c r="AO67" s="5" t="s">
        <v>101</v>
      </c>
      <c r="AP67" s="5" t="s">
        <v>101</v>
      </c>
      <c r="AQ67" s="5" t="s">
        <v>101</v>
      </c>
      <c r="AR67" s="5" t="s">
        <v>101</v>
      </c>
      <c r="AS67" s="5"/>
      <c r="AT67" s="5" t="s">
        <v>220</v>
      </c>
      <c r="AU67" s="5" t="s">
        <v>104</v>
      </c>
      <c r="AV67" s="5" t="s">
        <v>153</v>
      </c>
      <c r="AW67" s="5" t="s">
        <v>105</v>
      </c>
      <c r="AX67" s="5" t="s">
        <v>106</v>
      </c>
      <c r="AY67" s="5">
        <v>2750</v>
      </c>
      <c r="AZ67" s="5">
        <v>4250</v>
      </c>
      <c r="BA67" s="5">
        <v>2750</v>
      </c>
      <c r="BB67" s="5">
        <v>1440</v>
      </c>
      <c r="BC67" s="5">
        <v>0.47599999999999998</v>
      </c>
      <c r="BD67" s="5">
        <v>0.54500000000000004</v>
      </c>
      <c r="BE67" s="5">
        <v>0.71399999999999997</v>
      </c>
      <c r="BF67" s="5">
        <v>6235</v>
      </c>
      <c r="BG67" s="5">
        <v>0</v>
      </c>
      <c r="BH67" s="5">
        <v>1.5</v>
      </c>
      <c r="BI67" s="5">
        <v>0</v>
      </c>
      <c r="BJ67" s="5">
        <v>0</v>
      </c>
      <c r="BK67" s="5">
        <v>0</v>
      </c>
      <c r="BL67" s="5" t="s">
        <v>107</v>
      </c>
      <c r="BM67" s="5">
        <v>1</v>
      </c>
      <c r="BN67" s="5">
        <v>2.67</v>
      </c>
      <c r="BO67" s="5">
        <v>3420</v>
      </c>
      <c r="BP67" s="5">
        <v>14700</v>
      </c>
    </row>
    <row r="68" spans="1:68" x14ac:dyDescent="0.3">
      <c r="A68" s="5" t="s">
        <v>300</v>
      </c>
      <c r="B68" s="6">
        <v>46312</v>
      </c>
      <c r="C68" s="5" t="s">
        <v>297</v>
      </c>
      <c r="D68" s="5" t="s">
        <v>218</v>
      </c>
      <c r="E68" s="5" t="s">
        <v>138</v>
      </c>
      <c r="F68" s="5" t="s">
        <v>78</v>
      </c>
      <c r="G68" s="5">
        <v>11</v>
      </c>
      <c r="H68" s="5" t="s">
        <v>191</v>
      </c>
      <c r="I68" s="5" t="s">
        <v>80</v>
      </c>
      <c r="J68" s="5" t="s">
        <v>163</v>
      </c>
      <c r="K68" s="5" t="s">
        <v>82</v>
      </c>
      <c r="L68" s="5">
        <v>2</v>
      </c>
      <c r="M68" s="5" t="s">
        <v>112</v>
      </c>
      <c r="N68" s="5" t="s">
        <v>84</v>
      </c>
      <c r="O68" s="5">
        <v>15</v>
      </c>
      <c r="P68" s="5" t="s">
        <v>149</v>
      </c>
      <c r="Q68" s="5">
        <v>6</v>
      </c>
      <c r="R68" s="5">
        <v>5</v>
      </c>
      <c r="S68" s="5" t="s">
        <v>88</v>
      </c>
      <c r="T68" s="5" t="s">
        <v>140</v>
      </c>
      <c r="U68" s="5" t="s">
        <v>129</v>
      </c>
      <c r="V68" s="5">
        <v>740</v>
      </c>
      <c r="W68" s="5"/>
      <c r="X68" s="5" t="s">
        <v>116</v>
      </c>
      <c r="Y68" s="5" t="s">
        <v>90</v>
      </c>
      <c r="Z68" s="5" t="s">
        <v>91</v>
      </c>
      <c r="AA68" s="5" t="s">
        <v>92</v>
      </c>
      <c r="AB68" s="5" t="s">
        <v>93</v>
      </c>
      <c r="AC68" s="5" t="s">
        <v>118</v>
      </c>
      <c r="AD68" s="5" t="s">
        <v>119</v>
      </c>
      <c r="AE68" s="5" t="s">
        <v>84</v>
      </c>
      <c r="AF68" s="5" t="s">
        <v>132</v>
      </c>
      <c r="AG68" s="5" t="s">
        <v>133</v>
      </c>
      <c r="AH68" s="5" t="s">
        <v>120</v>
      </c>
      <c r="AI68" s="5" t="s">
        <v>92</v>
      </c>
      <c r="AJ68" s="5" t="s">
        <v>98</v>
      </c>
      <c r="AK68" s="5" t="s">
        <v>99</v>
      </c>
      <c r="AL68" s="5" t="s">
        <v>269</v>
      </c>
      <c r="AM68" s="5">
        <v>0</v>
      </c>
      <c r="AN68" s="5" t="s">
        <v>122</v>
      </c>
      <c r="AO68" s="5" t="s">
        <v>101</v>
      </c>
      <c r="AP68" s="5" t="s">
        <v>101</v>
      </c>
      <c r="AQ68" s="5" t="s">
        <v>101</v>
      </c>
      <c r="AR68" s="5" t="s">
        <v>101</v>
      </c>
      <c r="AS68" s="5"/>
      <c r="AT68" s="5" t="s">
        <v>153</v>
      </c>
      <c r="AU68" s="5" t="s">
        <v>104</v>
      </c>
      <c r="AV68" s="5" t="s">
        <v>220</v>
      </c>
      <c r="AW68" s="5" t="s">
        <v>105</v>
      </c>
      <c r="AX68" s="5" t="s">
        <v>106</v>
      </c>
      <c r="AY68" s="5">
        <v>2750</v>
      </c>
      <c r="AZ68" s="5">
        <v>4250</v>
      </c>
      <c r="BA68" s="5">
        <v>1500</v>
      </c>
      <c r="BB68" s="5">
        <v>2010</v>
      </c>
      <c r="BC68" s="5">
        <v>0.26900000000000002</v>
      </c>
      <c r="BD68" s="5">
        <v>1</v>
      </c>
      <c r="BE68" s="5">
        <v>0.85699999999999998</v>
      </c>
      <c r="BF68" s="5">
        <v>8703</v>
      </c>
      <c r="BG68" s="5">
        <v>0</v>
      </c>
      <c r="BH68" s="5">
        <v>0</v>
      </c>
      <c r="BI68" s="5">
        <v>0</v>
      </c>
      <c r="BJ68" s="5">
        <v>1</v>
      </c>
      <c r="BK68" s="5">
        <v>0</v>
      </c>
      <c r="BL68" s="5" t="s">
        <v>107</v>
      </c>
      <c r="BM68" s="5">
        <v>1</v>
      </c>
      <c r="BN68" s="5">
        <v>2.67</v>
      </c>
      <c r="BO68" s="5">
        <v>2800</v>
      </c>
      <c r="BP68" s="5">
        <v>12000</v>
      </c>
    </row>
    <row r="69" spans="1:68" x14ac:dyDescent="0.3">
      <c r="A69" s="5" t="s">
        <v>301</v>
      </c>
      <c r="B69" s="6">
        <v>46312</v>
      </c>
      <c r="C69" s="5" t="s">
        <v>297</v>
      </c>
      <c r="D69" s="5" t="s">
        <v>195</v>
      </c>
      <c r="E69" s="5" t="s">
        <v>77</v>
      </c>
      <c r="F69" s="5" t="s">
        <v>78</v>
      </c>
      <c r="G69" s="5">
        <v>9</v>
      </c>
      <c r="H69" s="5" t="s">
        <v>191</v>
      </c>
      <c r="I69" s="5" t="s">
        <v>80</v>
      </c>
      <c r="J69" s="5" t="s">
        <v>126</v>
      </c>
      <c r="K69" s="5" t="s">
        <v>82</v>
      </c>
      <c r="L69" s="5">
        <v>3</v>
      </c>
      <c r="M69" s="5" t="s">
        <v>139</v>
      </c>
      <c r="N69" s="5" t="s">
        <v>84</v>
      </c>
      <c r="O69" s="5">
        <v>5</v>
      </c>
      <c r="P69" s="5" t="s">
        <v>113</v>
      </c>
      <c r="Q69" s="5">
        <v>7</v>
      </c>
      <c r="R69" s="5">
        <v>10</v>
      </c>
      <c r="S69" s="5" t="s">
        <v>86</v>
      </c>
      <c r="T69" s="5" t="s">
        <v>114</v>
      </c>
      <c r="U69" s="5" t="s">
        <v>88</v>
      </c>
      <c r="V69" s="5">
        <v>2600</v>
      </c>
      <c r="W69" s="5"/>
      <c r="X69" s="5" t="s">
        <v>116</v>
      </c>
      <c r="Y69" s="5" t="s">
        <v>90</v>
      </c>
      <c r="Z69" s="5" t="s">
        <v>91</v>
      </c>
      <c r="AA69" s="5" t="s">
        <v>78</v>
      </c>
      <c r="AB69" s="5" t="s">
        <v>282</v>
      </c>
      <c r="AC69" s="5" t="s">
        <v>94</v>
      </c>
      <c r="AD69" s="5" t="s">
        <v>130</v>
      </c>
      <c r="AE69" s="5" t="s">
        <v>84</v>
      </c>
      <c r="AF69" s="5" t="s">
        <v>144</v>
      </c>
      <c r="AG69" s="5" t="s">
        <v>181</v>
      </c>
      <c r="AH69" s="5" t="s">
        <v>97</v>
      </c>
      <c r="AI69" s="5" t="s">
        <v>78</v>
      </c>
      <c r="AJ69" s="5" t="s">
        <v>159</v>
      </c>
      <c r="AK69" s="5" t="s">
        <v>101</v>
      </c>
      <c r="AL69" s="5" t="s">
        <v>302</v>
      </c>
      <c r="AM69" s="5">
        <v>5600</v>
      </c>
      <c r="AN69" s="5" t="s">
        <v>92</v>
      </c>
      <c r="AO69" s="5" t="s">
        <v>101</v>
      </c>
      <c r="AP69" s="5" t="s">
        <v>101</v>
      </c>
      <c r="AQ69" s="5" t="s">
        <v>101</v>
      </c>
      <c r="AR69" s="5" t="s">
        <v>101</v>
      </c>
      <c r="AS69" s="5"/>
      <c r="AT69" s="5" t="s">
        <v>153</v>
      </c>
      <c r="AU69" s="5" t="s">
        <v>103</v>
      </c>
      <c r="AV69" s="5" t="s">
        <v>102</v>
      </c>
      <c r="AW69" s="5" t="s">
        <v>211</v>
      </c>
      <c r="AX69" s="5" t="s">
        <v>106</v>
      </c>
      <c r="AY69" s="5">
        <v>6000</v>
      </c>
      <c r="AZ69" s="5">
        <v>10000</v>
      </c>
      <c r="BA69" s="5">
        <v>2750</v>
      </c>
      <c r="BB69" s="5">
        <v>3400</v>
      </c>
      <c r="BC69" s="5">
        <v>0.433</v>
      </c>
      <c r="BD69" s="5">
        <v>1.208</v>
      </c>
      <c r="BE69" s="5">
        <v>1</v>
      </c>
      <c r="BF69" s="5">
        <v>14722</v>
      </c>
      <c r="BG69" s="5">
        <v>0.38</v>
      </c>
      <c r="BH69" s="5">
        <v>5</v>
      </c>
      <c r="BI69" s="5">
        <v>0</v>
      </c>
      <c r="BJ69" s="5">
        <v>2</v>
      </c>
      <c r="BK69" s="5">
        <v>0</v>
      </c>
      <c r="BL69" s="5" t="s">
        <v>107</v>
      </c>
      <c r="BM69" s="5">
        <v>0</v>
      </c>
      <c r="BN69" s="5">
        <v>3.33</v>
      </c>
      <c r="BO69" s="5">
        <v>5780</v>
      </c>
      <c r="BP69" s="5">
        <v>24900</v>
      </c>
    </row>
    <row r="70" spans="1:68" x14ac:dyDescent="0.3">
      <c r="A70" s="5" t="s">
        <v>303</v>
      </c>
      <c r="B70" s="6">
        <v>46312</v>
      </c>
      <c r="C70" s="5" t="s">
        <v>297</v>
      </c>
      <c r="D70" s="5" t="s">
        <v>109</v>
      </c>
      <c r="E70" s="5" t="s">
        <v>77</v>
      </c>
      <c r="F70" s="5" t="s">
        <v>78</v>
      </c>
      <c r="G70" s="5">
        <v>7</v>
      </c>
      <c r="H70" s="5" t="s">
        <v>79</v>
      </c>
      <c r="I70" s="5" t="s">
        <v>80</v>
      </c>
      <c r="J70" s="5" t="s">
        <v>81</v>
      </c>
      <c r="K70" s="5" t="s">
        <v>111</v>
      </c>
      <c r="L70" s="5">
        <v>2</v>
      </c>
      <c r="M70" s="5" t="s">
        <v>173</v>
      </c>
      <c r="N70" s="5" t="s">
        <v>131</v>
      </c>
      <c r="O70" s="5">
        <v>5</v>
      </c>
      <c r="P70" s="5" t="s">
        <v>85</v>
      </c>
      <c r="Q70" s="5">
        <v>4</v>
      </c>
      <c r="R70" s="5">
        <v>5</v>
      </c>
      <c r="S70" s="5" t="s">
        <v>129</v>
      </c>
      <c r="T70" s="5" t="s">
        <v>88</v>
      </c>
      <c r="U70" s="5" t="s">
        <v>129</v>
      </c>
      <c r="V70" s="5">
        <v>600</v>
      </c>
      <c r="W70" s="5" t="s">
        <v>192</v>
      </c>
      <c r="X70" s="5" t="s">
        <v>116</v>
      </c>
      <c r="Y70" s="5" t="s">
        <v>90</v>
      </c>
      <c r="Z70" s="5" t="s">
        <v>91</v>
      </c>
      <c r="AA70" s="5" t="s">
        <v>78</v>
      </c>
      <c r="AB70" s="5" t="s">
        <v>158</v>
      </c>
      <c r="AC70" s="5" t="s">
        <v>118</v>
      </c>
      <c r="AD70" s="5" t="s">
        <v>119</v>
      </c>
      <c r="AE70" s="5" t="s">
        <v>131</v>
      </c>
      <c r="AF70" s="5" t="s">
        <v>144</v>
      </c>
      <c r="AG70" s="5" t="s">
        <v>133</v>
      </c>
      <c r="AH70" s="5" t="s">
        <v>152</v>
      </c>
      <c r="AI70" s="5" t="s">
        <v>78</v>
      </c>
      <c r="AJ70" s="5" t="s">
        <v>159</v>
      </c>
      <c r="AK70" s="5" t="s">
        <v>101</v>
      </c>
      <c r="AL70" s="5" t="s">
        <v>199</v>
      </c>
      <c r="AM70" s="5">
        <v>2200</v>
      </c>
      <c r="AN70" s="5" t="s">
        <v>92</v>
      </c>
      <c r="AO70" s="5" t="s">
        <v>101</v>
      </c>
      <c r="AP70" s="5" t="s">
        <v>101</v>
      </c>
      <c r="AQ70" s="5" t="s">
        <v>101</v>
      </c>
      <c r="AR70" s="5" t="s">
        <v>101</v>
      </c>
      <c r="AS70" s="5"/>
      <c r="AT70" s="5" t="s">
        <v>220</v>
      </c>
      <c r="AU70" s="5" t="s">
        <v>104</v>
      </c>
      <c r="AV70" s="5" t="s">
        <v>220</v>
      </c>
      <c r="AW70" s="5" t="s">
        <v>105</v>
      </c>
      <c r="AX70" s="5" t="s">
        <v>106</v>
      </c>
      <c r="AY70" s="5">
        <v>1500</v>
      </c>
      <c r="AZ70" s="5">
        <v>2750</v>
      </c>
      <c r="BA70" s="5">
        <v>1500</v>
      </c>
      <c r="BB70" s="5">
        <v>900</v>
      </c>
      <c r="BC70" s="5">
        <v>0.4</v>
      </c>
      <c r="BD70" s="5">
        <v>0.83299999999999996</v>
      </c>
      <c r="BE70" s="5">
        <v>0.57099999999999995</v>
      </c>
      <c r="BF70" s="5">
        <v>3897</v>
      </c>
      <c r="BG70" s="5">
        <v>0.56499999999999995</v>
      </c>
      <c r="BH70" s="5">
        <v>1.5</v>
      </c>
      <c r="BI70" s="5">
        <v>2</v>
      </c>
      <c r="BJ70" s="5">
        <v>1</v>
      </c>
      <c r="BK70" s="5">
        <v>0</v>
      </c>
      <c r="BL70" s="5" t="s">
        <v>107</v>
      </c>
      <c r="BM70" s="5">
        <v>1</v>
      </c>
      <c r="BN70" s="5">
        <v>2</v>
      </c>
      <c r="BO70" s="5">
        <v>1330</v>
      </c>
      <c r="BP70" s="5">
        <v>5700</v>
      </c>
    </row>
    <row r="71" spans="1:68" x14ac:dyDescent="0.3">
      <c r="A71" s="5" t="s">
        <v>304</v>
      </c>
      <c r="B71" s="6">
        <v>46312</v>
      </c>
      <c r="C71" s="5" t="s">
        <v>297</v>
      </c>
      <c r="D71" s="5" t="s">
        <v>137</v>
      </c>
      <c r="E71" s="5" t="s">
        <v>187</v>
      </c>
      <c r="F71" s="5" t="s">
        <v>78</v>
      </c>
      <c r="G71" s="5">
        <v>10</v>
      </c>
      <c r="H71" s="5" t="s">
        <v>156</v>
      </c>
      <c r="I71" s="5" t="s">
        <v>80</v>
      </c>
      <c r="J71" s="5" t="s">
        <v>126</v>
      </c>
      <c r="K71" s="5" t="s">
        <v>82</v>
      </c>
      <c r="L71" s="5">
        <v>5</v>
      </c>
      <c r="M71" s="5" t="s">
        <v>197</v>
      </c>
      <c r="N71" s="5" t="s">
        <v>84</v>
      </c>
      <c r="O71" s="5">
        <v>8</v>
      </c>
      <c r="P71" s="5" t="s">
        <v>149</v>
      </c>
      <c r="Q71" s="5">
        <v>7</v>
      </c>
      <c r="R71" s="5">
        <v>9</v>
      </c>
      <c r="S71" s="5" t="s">
        <v>140</v>
      </c>
      <c r="T71" s="5" t="s">
        <v>86</v>
      </c>
      <c r="U71" s="5" t="s">
        <v>88</v>
      </c>
      <c r="V71" s="5">
        <v>1830</v>
      </c>
      <c r="W71" s="5" t="s">
        <v>164</v>
      </c>
      <c r="X71" s="5" t="s">
        <v>142</v>
      </c>
      <c r="Y71" s="5" t="s">
        <v>117</v>
      </c>
      <c r="Z71" s="5" t="s">
        <v>143</v>
      </c>
      <c r="AA71" s="5" t="s">
        <v>92</v>
      </c>
      <c r="AB71" s="5" t="s">
        <v>93</v>
      </c>
      <c r="AC71" s="5" t="s">
        <v>94</v>
      </c>
      <c r="AD71" s="5" t="s">
        <v>95</v>
      </c>
      <c r="AE71" s="5" t="s">
        <v>84</v>
      </c>
      <c r="AF71" s="5" t="s">
        <v>144</v>
      </c>
      <c r="AG71" s="5" t="s">
        <v>181</v>
      </c>
      <c r="AH71" s="5" t="s">
        <v>152</v>
      </c>
      <c r="AI71" s="5" t="s">
        <v>92</v>
      </c>
      <c r="AJ71" s="5" t="s">
        <v>98</v>
      </c>
      <c r="AK71" s="5" t="s">
        <v>145</v>
      </c>
      <c r="AL71" s="5" t="s">
        <v>305</v>
      </c>
      <c r="AM71" s="5">
        <v>0</v>
      </c>
      <c r="AN71" s="5" t="s">
        <v>122</v>
      </c>
      <c r="AO71" s="5" t="s">
        <v>101</v>
      </c>
      <c r="AP71" s="5" t="s">
        <v>101</v>
      </c>
      <c r="AQ71" s="5" t="s">
        <v>101</v>
      </c>
      <c r="AR71" s="5" t="s">
        <v>101</v>
      </c>
      <c r="AS71" s="5"/>
      <c r="AT71" s="5" t="s">
        <v>104</v>
      </c>
      <c r="AU71" s="5" t="s">
        <v>153</v>
      </c>
      <c r="AV71" s="5" t="s">
        <v>102</v>
      </c>
      <c r="AW71" s="5" t="s">
        <v>160</v>
      </c>
      <c r="AX71" s="5" t="s">
        <v>106</v>
      </c>
      <c r="AY71" s="5">
        <v>4250</v>
      </c>
      <c r="AZ71" s="5">
        <v>6000</v>
      </c>
      <c r="BA71" s="5">
        <v>2750</v>
      </c>
      <c r="BB71" s="5">
        <v>2420</v>
      </c>
      <c r="BC71" s="5">
        <v>0.43099999999999999</v>
      </c>
      <c r="BD71" s="5">
        <v>0.76500000000000001</v>
      </c>
      <c r="BE71" s="5">
        <v>1</v>
      </c>
      <c r="BF71" s="5">
        <v>10479</v>
      </c>
      <c r="BG71" s="5">
        <v>0</v>
      </c>
      <c r="BH71" s="5">
        <v>0</v>
      </c>
      <c r="BI71" s="5">
        <v>2</v>
      </c>
      <c r="BJ71" s="5">
        <v>2</v>
      </c>
      <c r="BK71" s="5">
        <v>0</v>
      </c>
      <c r="BL71" s="5" t="s">
        <v>107</v>
      </c>
      <c r="BM71" s="5">
        <v>1</v>
      </c>
      <c r="BN71" s="5">
        <v>3</v>
      </c>
      <c r="BO71" s="5">
        <v>4070</v>
      </c>
      <c r="BP71" s="5">
        <v>17500</v>
      </c>
    </row>
    <row r="72" spans="1:68" x14ac:dyDescent="0.3">
      <c r="A72" s="5" t="s">
        <v>306</v>
      </c>
      <c r="B72" s="6">
        <v>46312</v>
      </c>
      <c r="C72" s="5" t="s">
        <v>297</v>
      </c>
      <c r="D72" s="5" t="s">
        <v>124</v>
      </c>
      <c r="E72" s="5" t="s">
        <v>77</v>
      </c>
      <c r="F72" s="5" t="s">
        <v>78</v>
      </c>
      <c r="G72" s="5">
        <v>7</v>
      </c>
      <c r="H72" s="5" t="s">
        <v>156</v>
      </c>
      <c r="I72" s="5" t="s">
        <v>80</v>
      </c>
      <c r="J72" s="5" t="s">
        <v>81</v>
      </c>
      <c r="K72" s="5" t="s">
        <v>82</v>
      </c>
      <c r="L72" s="5">
        <v>2</v>
      </c>
      <c r="M72" s="5" t="s">
        <v>128</v>
      </c>
      <c r="N72" s="5" t="s">
        <v>169</v>
      </c>
      <c r="O72" s="5">
        <v>9</v>
      </c>
      <c r="P72" s="5" t="s">
        <v>113</v>
      </c>
      <c r="Q72" s="5">
        <v>6</v>
      </c>
      <c r="R72" s="5">
        <v>8</v>
      </c>
      <c r="S72" s="5" t="s">
        <v>140</v>
      </c>
      <c r="T72" s="5" t="s">
        <v>86</v>
      </c>
      <c r="U72" s="5" t="s">
        <v>129</v>
      </c>
      <c r="V72" s="5">
        <v>1580</v>
      </c>
      <c r="W72" s="5"/>
      <c r="X72" s="5" t="s">
        <v>142</v>
      </c>
      <c r="Y72" s="5" t="s">
        <v>151</v>
      </c>
      <c r="Z72" s="5" t="s">
        <v>168</v>
      </c>
      <c r="AA72" s="5" t="s">
        <v>78</v>
      </c>
      <c r="AB72" s="5" t="s">
        <v>158</v>
      </c>
      <c r="AC72" s="5" t="s">
        <v>118</v>
      </c>
      <c r="AD72" s="5" t="s">
        <v>95</v>
      </c>
      <c r="AE72" s="5" t="s">
        <v>169</v>
      </c>
      <c r="AF72" s="5" t="s">
        <v>132</v>
      </c>
      <c r="AG72" s="5" t="s">
        <v>96</v>
      </c>
      <c r="AH72" s="5" t="s">
        <v>120</v>
      </c>
      <c r="AI72" s="5" t="s">
        <v>92</v>
      </c>
      <c r="AJ72" s="5" t="s">
        <v>98</v>
      </c>
      <c r="AK72" s="5" t="s">
        <v>121</v>
      </c>
      <c r="AL72" s="5" t="s">
        <v>107</v>
      </c>
      <c r="AM72" s="5">
        <v>0</v>
      </c>
      <c r="AN72" s="5" t="s">
        <v>122</v>
      </c>
      <c r="AO72" s="5" t="s">
        <v>101</v>
      </c>
      <c r="AP72" s="5" t="s">
        <v>101</v>
      </c>
      <c r="AQ72" s="5" t="s">
        <v>101</v>
      </c>
      <c r="AR72" s="5" t="s">
        <v>101</v>
      </c>
      <c r="AS72" s="5"/>
      <c r="AT72" s="5" t="s">
        <v>104</v>
      </c>
      <c r="AU72" s="5" t="s">
        <v>104</v>
      </c>
      <c r="AV72" s="5" t="s">
        <v>103</v>
      </c>
      <c r="AW72" s="5" t="s">
        <v>101</v>
      </c>
      <c r="AX72" s="5" t="s">
        <v>106</v>
      </c>
      <c r="AY72" s="5">
        <v>4250</v>
      </c>
      <c r="AZ72" s="5">
        <v>6000</v>
      </c>
      <c r="BA72" s="5">
        <v>1500</v>
      </c>
      <c r="BB72" s="5">
        <v>2670</v>
      </c>
      <c r="BC72" s="5">
        <v>0.372</v>
      </c>
      <c r="BD72" s="5">
        <v>1.0589999999999999</v>
      </c>
      <c r="BE72" s="5">
        <v>0.85699999999999998</v>
      </c>
      <c r="BF72" s="5">
        <v>11561</v>
      </c>
      <c r="BG72" s="5">
        <v>0</v>
      </c>
      <c r="BH72" s="5">
        <v>1.5</v>
      </c>
      <c r="BI72" s="5">
        <v>0</v>
      </c>
      <c r="BJ72" s="5">
        <v>0</v>
      </c>
      <c r="BK72" s="5">
        <v>0</v>
      </c>
      <c r="BL72" s="5" t="s">
        <v>107</v>
      </c>
      <c r="BM72" s="5">
        <v>1</v>
      </c>
      <c r="BN72" s="5">
        <v>4.33</v>
      </c>
      <c r="BO72" s="5">
        <v>3510</v>
      </c>
      <c r="BP72" s="5">
        <v>15100</v>
      </c>
    </row>
    <row r="73" spans="1:68" x14ac:dyDescent="0.3">
      <c r="A73" s="5" t="s">
        <v>307</v>
      </c>
      <c r="B73" s="6">
        <v>46312</v>
      </c>
      <c r="C73" s="5" t="s">
        <v>297</v>
      </c>
      <c r="D73" s="5" t="s">
        <v>76</v>
      </c>
      <c r="E73" s="5" t="s">
        <v>77</v>
      </c>
      <c r="F73" s="5" t="s">
        <v>78</v>
      </c>
      <c r="G73" s="5">
        <v>9</v>
      </c>
      <c r="H73" s="5" t="s">
        <v>79</v>
      </c>
      <c r="I73" s="5" t="s">
        <v>80</v>
      </c>
      <c r="J73" s="5" t="s">
        <v>81</v>
      </c>
      <c r="K73" s="5" t="s">
        <v>111</v>
      </c>
      <c r="L73" s="5">
        <v>6</v>
      </c>
      <c r="M73" s="5" t="s">
        <v>83</v>
      </c>
      <c r="N73" s="5" t="s">
        <v>84</v>
      </c>
      <c r="O73" s="5">
        <v>9</v>
      </c>
      <c r="P73" s="5" t="s">
        <v>113</v>
      </c>
      <c r="Q73" s="5">
        <v>6</v>
      </c>
      <c r="R73" s="5">
        <v>8</v>
      </c>
      <c r="S73" s="5" t="s">
        <v>140</v>
      </c>
      <c r="T73" s="5" t="s">
        <v>86</v>
      </c>
      <c r="U73" s="5" t="s">
        <v>88</v>
      </c>
      <c r="V73" s="5">
        <v>270</v>
      </c>
      <c r="W73" s="5" t="s">
        <v>226</v>
      </c>
      <c r="X73" s="5" t="s">
        <v>89</v>
      </c>
      <c r="Y73" s="5" t="s">
        <v>90</v>
      </c>
      <c r="Z73" s="5" t="s">
        <v>168</v>
      </c>
      <c r="AA73" s="5" t="s">
        <v>92</v>
      </c>
      <c r="AB73" s="5" t="s">
        <v>93</v>
      </c>
      <c r="AC73" s="5" t="s">
        <v>118</v>
      </c>
      <c r="AD73" s="5" t="s">
        <v>95</v>
      </c>
      <c r="AE73" s="5" t="s">
        <v>84</v>
      </c>
      <c r="AF73" s="5" t="s">
        <v>92</v>
      </c>
      <c r="AG73" s="5" t="s">
        <v>133</v>
      </c>
      <c r="AH73" s="5" t="s">
        <v>152</v>
      </c>
      <c r="AI73" s="5" t="s">
        <v>92</v>
      </c>
      <c r="AJ73" s="5" t="s">
        <v>98</v>
      </c>
      <c r="AK73" s="5" t="s">
        <v>211</v>
      </c>
      <c r="AL73" s="5" t="s">
        <v>308</v>
      </c>
      <c r="AM73" s="5">
        <v>1900</v>
      </c>
      <c r="AN73" s="5" t="s">
        <v>78</v>
      </c>
      <c r="AO73" s="5" t="s">
        <v>244</v>
      </c>
      <c r="AP73" s="5" t="s">
        <v>184</v>
      </c>
      <c r="AQ73" s="5" t="s">
        <v>92</v>
      </c>
      <c r="AR73" s="5" t="s">
        <v>257</v>
      </c>
      <c r="AS73" s="5">
        <v>6</v>
      </c>
      <c r="AT73" s="5" t="s">
        <v>220</v>
      </c>
      <c r="AU73" s="5" t="s">
        <v>104</v>
      </c>
      <c r="AV73" s="5" t="s">
        <v>153</v>
      </c>
      <c r="AW73" s="5" t="s">
        <v>160</v>
      </c>
      <c r="AX73" s="5" t="s">
        <v>106</v>
      </c>
      <c r="AY73" s="5">
        <v>4250</v>
      </c>
      <c r="AZ73" s="5">
        <v>6000</v>
      </c>
      <c r="BA73" s="5">
        <v>2750</v>
      </c>
      <c r="BB73" s="5">
        <v>3980</v>
      </c>
      <c r="BC73" s="5">
        <v>6.4000000000000001E-2</v>
      </c>
      <c r="BD73" s="5">
        <v>0.76500000000000001</v>
      </c>
      <c r="BE73" s="5">
        <v>0.85699999999999998</v>
      </c>
      <c r="BF73" s="5">
        <v>17233</v>
      </c>
      <c r="BG73" s="5">
        <v>0.11</v>
      </c>
      <c r="BH73" s="5">
        <v>0</v>
      </c>
      <c r="BI73" s="5">
        <v>1</v>
      </c>
      <c r="BJ73" s="5">
        <v>1</v>
      </c>
      <c r="BK73" s="5">
        <v>1</v>
      </c>
      <c r="BL73" s="5" t="s">
        <v>224</v>
      </c>
      <c r="BM73" s="5">
        <v>1</v>
      </c>
      <c r="BN73" s="5">
        <v>2.67</v>
      </c>
      <c r="BO73" s="5">
        <v>3580</v>
      </c>
      <c r="BP73" s="5">
        <v>15400</v>
      </c>
    </row>
    <row r="74" spans="1:68" x14ac:dyDescent="0.3">
      <c r="A74" s="5" t="s">
        <v>309</v>
      </c>
      <c r="B74" s="6">
        <v>46316</v>
      </c>
      <c r="C74" s="5" t="s">
        <v>297</v>
      </c>
      <c r="D74" s="5" t="s">
        <v>195</v>
      </c>
      <c r="E74" s="5" t="s">
        <v>138</v>
      </c>
      <c r="F74" s="5" t="s">
        <v>78</v>
      </c>
      <c r="G74" s="5">
        <v>8</v>
      </c>
      <c r="H74" s="5" t="s">
        <v>156</v>
      </c>
      <c r="I74" s="5" t="s">
        <v>80</v>
      </c>
      <c r="J74" s="5" t="s">
        <v>81</v>
      </c>
      <c r="K74" s="5" t="s">
        <v>111</v>
      </c>
      <c r="L74" s="5">
        <v>2</v>
      </c>
      <c r="M74" s="5" t="s">
        <v>139</v>
      </c>
      <c r="N74" s="5" t="s">
        <v>169</v>
      </c>
      <c r="O74" s="5">
        <v>3</v>
      </c>
      <c r="P74" s="5" t="s">
        <v>149</v>
      </c>
      <c r="Q74" s="5">
        <v>5</v>
      </c>
      <c r="R74" s="5">
        <v>9</v>
      </c>
      <c r="S74" s="5" t="s">
        <v>88</v>
      </c>
      <c r="T74" s="5" t="s">
        <v>140</v>
      </c>
      <c r="U74" s="5" t="s">
        <v>129</v>
      </c>
      <c r="V74" s="5">
        <v>1110</v>
      </c>
      <c r="W74" s="5"/>
      <c r="X74" s="5" t="s">
        <v>116</v>
      </c>
      <c r="Y74" s="5" t="s">
        <v>117</v>
      </c>
      <c r="Z74" s="5" t="s">
        <v>91</v>
      </c>
      <c r="AA74" s="5" t="s">
        <v>92</v>
      </c>
      <c r="AB74" s="5" t="s">
        <v>93</v>
      </c>
      <c r="AC74" s="5" t="s">
        <v>118</v>
      </c>
      <c r="AD74" s="5" t="s">
        <v>95</v>
      </c>
      <c r="AE74" s="5" t="s">
        <v>84</v>
      </c>
      <c r="AF74" s="5" t="s">
        <v>132</v>
      </c>
      <c r="AG74" s="5" t="s">
        <v>181</v>
      </c>
      <c r="AH74" s="5" t="s">
        <v>120</v>
      </c>
      <c r="AI74" s="5" t="s">
        <v>78</v>
      </c>
      <c r="AJ74" s="5" t="s">
        <v>216</v>
      </c>
      <c r="AK74" s="5" t="s">
        <v>145</v>
      </c>
      <c r="AL74" s="5" t="s">
        <v>107</v>
      </c>
      <c r="AM74" s="5">
        <v>0</v>
      </c>
      <c r="AN74" s="5" t="s">
        <v>122</v>
      </c>
      <c r="AO74" s="5" t="s">
        <v>101</v>
      </c>
      <c r="AP74" s="5" t="s">
        <v>101</v>
      </c>
      <c r="AQ74" s="5" t="s">
        <v>101</v>
      </c>
      <c r="AR74" s="5" t="s">
        <v>101</v>
      </c>
      <c r="AS74" s="5"/>
      <c r="AT74" s="5" t="s">
        <v>104</v>
      </c>
      <c r="AU74" s="5" t="s">
        <v>103</v>
      </c>
      <c r="AV74" s="5" t="s">
        <v>220</v>
      </c>
      <c r="AW74" s="5" t="s">
        <v>105</v>
      </c>
      <c r="AX74" s="5" t="s">
        <v>106</v>
      </c>
      <c r="AY74" s="5">
        <v>2750</v>
      </c>
      <c r="AZ74" s="5">
        <v>4250</v>
      </c>
      <c r="BA74" s="5">
        <v>1500</v>
      </c>
      <c r="BB74" s="5">
        <v>1640</v>
      </c>
      <c r="BC74" s="5">
        <v>0.40400000000000003</v>
      </c>
      <c r="BD74" s="5">
        <v>1</v>
      </c>
      <c r="BE74" s="5">
        <v>0.71399999999999997</v>
      </c>
      <c r="BF74" s="5">
        <v>7101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 t="s">
        <v>107</v>
      </c>
      <c r="BM74" s="5">
        <v>1</v>
      </c>
      <c r="BN74" s="5">
        <v>3.33</v>
      </c>
      <c r="BO74" s="5">
        <v>2830</v>
      </c>
      <c r="BP74" s="5">
        <v>12200</v>
      </c>
    </row>
    <row r="75" spans="1:68" x14ac:dyDescent="0.3">
      <c r="A75" s="5" t="s">
        <v>310</v>
      </c>
      <c r="B75" s="6">
        <v>46312</v>
      </c>
      <c r="C75" s="5" t="s">
        <v>297</v>
      </c>
      <c r="D75" s="5" t="s">
        <v>195</v>
      </c>
      <c r="E75" s="5" t="s">
        <v>138</v>
      </c>
      <c r="F75" s="5" t="s">
        <v>78</v>
      </c>
      <c r="G75" s="5">
        <v>8</v>
      </c>
      <c r="H75" s="5" t="s">
        <v>191</v>
      </c>
      <c r="I75" s="5" t="s">
        <v>80</v>
      </c>
      <c r="J75" s="5" t="s">
        <v>126</v>
      </c>
      <c r="K75" s="5" t="s">
        <v>127</v>
      </c>
      <c r="L75" s="5">
        <v>0</v>
      </c>
      <c r="M75" s="5" t="s">
        <v>139</v>
      </c>
      <c r="N75" s="5" t="s">
        <v>84</v>
      </c>
      <c r="O75" s="5">
        <v>46</v>
      </c>
      <c r="P75" s="5" t="s">
        <v>85</v>
      </c>
      <c r="Q75" s="5">
        <v>5</v>
      </c>
      <c r="R75" s="5">
        <v>11</v>
      </c>
      <c r="S75" s="5" t="s">
        <v>140</v>
      </c>
      <c r="T75" s="5" t="s">
        <v>86</v>
      </c>
      <c r="U75" s="5" t="s">
        <v>88</v>
      </c>
      <c r="V75" s="5">
        <v>470</v>
      </c>
      <c r="W75" s="5" t="s">
        <v>192</v>
      </c>
      <c r="X75" s="5" t="s">
        <v>142</v>
      </c>
      <c r="Y75" s="5" t="s">
        <v>117</v>
      </c>
      <c r="Z75" s="5" t="s">
        <v>91</v>
      </c>
      <c r="AA75" s="5" t="s">
        <v>78</v>
      </c>
      <c r="AB75" s="5" t="s">
        <v>175</v>
      </c>
      <c r="AC75" s="5" t="s">
        <v>118</v>
      </c>
      <c r="AD75" s="5" t="s">
        <v>95</v>
      </c>
      <c r="AE75" s="5" t="s">
        <v>84</v>
      </c>
      <c r="AF75" s="5" t="s">
        <v>132</v>
      </c>
      <c r="AG75" s="5" t="s">
        <v>96</v>
      </c>
      <c r="AH75" s="5" t="s">
        <v>97</v>
      </c>
      <c r="AI75" s="5" t="s">
        <v>78</v>
      </c>
      <c r="AJ75" s="5" t="s">
        <v>159</v>
      </c>
      <c r="AK75" s="5" t="s">
        <v>101</v>
      </c>
      <c r="AL75" s="5" t="s">
        <v>100</v>
      </c>
      <c r="AM75" s="5">
        <v>2800</v>
      </c>
      <c r="AN75" s="5" t="s">
        <v>92</v>
      </c>
      <c r="AO75" s="5" t="s">
        <v>101</v>
      </c>
      <c r="AP75" s="5" t="s">
        <v>101</v>
      </c>
      <c r="AQ75" s="5" t="s">
        <v>101</v>
      </c>
      <c r="AR75" s="5" t="s">
        <v>101</v>
      </c>
      <c r="AS75" s="5"/>
      <c r="AT75" s="5" t="s">
        <v>103</v>
      </c>
      <c r="AU75" s="5" t="s">
        <v>153</v>
      </c>
      <c r="AV75" s="5" t="s">
        <v>153</v>
      </c>
      <c r="AW75" s="5" t="s">
        <v>101</v>
      </c>
      <c r="AX75" s="5" t="s">
        <v>106</v>
      </c>
      <c r="AY75" s="5">
        <v>4250</v>
      </c>
      <c r="AZ75" s="5">
        <v>6000</v>
      </c>
      <c r="BA75" s="5">
        <v>2750</v>
      </c>
      <c r="BB75" s="5">
        <v>3780</v>
      </c>
      <c r="BC75" s="5">
        <v>0.111</v>
      </c>
      <c r="BD75" s="5">
        <v>0.76500000000000001</v>
      </c>
      <c r="BE75" s="5">
        <v>0.71399999999999997</v>
      </c>
      <c r="BF75" s="5">
        <v>16367</v>
      </c>
      <c r="BG75" s="5">
        <v>0.17100000000000001</v>
      </c>
      <c r="BH75" s="5">
        <v>0.5</v>
      </c>
      <c r="BI75" s="5">
        <v>2</v>
      </c>
      <c r="BJ75" s="5">
        <v>1</v>
      </c>
      <c r="BK75" s="5">
        <v>0</v>
      </c>
      <c r="BL75" s="5" t="s">
        <v>107</v>
      </c>
      <c r="BM75" s="5">
        <v>0</v>
      </c>
      <c r="BN75" s="5">
        <v>3.67</v>
      </c>
      <c r="BO75" s="5">
        <v>3970</v>
      </c>
      <c r="BP75" s="5">
        <v>17100</v>
      </c>
    </row>
    <row r="76" spans="1:68" x14ac:dyDescent="0.3">
      <c r="A76" s="5" t="s">
        <v>311</v>
      </c>
      <c r="B76" s="6">
        <v>46312</v>
      </c>
      <c r="C76" s="5" t="s">
        <v>297</v>
      </c>
      <c r="D76" s="5" t="s">
        <v>137</v>
      </c>
      <c r="E76" s="5" t="s">
        <v>77</v>
      </c>
      <c r="F76" s="5" t="s">
        <v>78</v>
      </c>
      <c r="G76" s="5">
        <v>7</v>
      </c>
      <c r="H76" s="5" t="s">
        <v>110</v>
      </c>
      <c r="I76" s="5" t="s">
        <v>80</v>
      </c>
      <c r="J76" s="5" t="s">
        <v>178</v>
      </c>
      <c r="K76" s="5" t="s">
        <v>82</v>
      </c>
      <c r="L76" s="5">
        <v>3</v>
      </c>
      <c r="M76" s="5" t="s">
        <v>139</v>
      </c>
      <c r="N76" s="5" t="s">
        <v>84</v>
      </c>
      <c r="O76" s="5">
        <v>43</v>
      </c>
      <c r="P76" s="5" t="s">
        <v>198</v>
      </c>
      <c r="Q76" s="5">
        <v>7</v>
      </c>
      <c r="R76" s="5">
        <v>11</v>
      </c>
      <c r="S76" s="5" t="s">
        <v>87</v>
      </c>
      <c r="T76" s="5" t="s">
        <v>114</v>
      </c>
      <c r="U76" s="5" t="s">
        <v>140</v>
      </c>
      <c r="V76" s="5">
        <v>50</v>
      </c>
      <c r="W76" s="5" t="s">
        <v>214</v>
      </c>
      <c r="X76" s="5" t="s">
        <v>89</v>
      </c>
      <c r="Y76" s="5" t="s">
        <v>90</v>
      </c>
      <c r="Z76" s="5" t="s">
        <v>91</v>
      </c>
      <c r="AA76" s="5" t="s">
        <v>78</v>
      </c>
      <c r="AB76" s="5" t="s">
        <v>175</v>
      </c>
      <c r="AC76" s="5" t="s">
        <v>94</v>
      </c>
      <c r="AD76" s="5" t="s">
        <v>95</v>
      </c>
      <c r="AE76" s="5" t="s">
        <v>169</v>
      </c>
      <c r="AF76" s="5" t="s">
        <v>92</v>
      </c>
      <c r="AG76" s="5" t="s">
        <v>133</v>
      </c>
      <c r="AH76" s="5" t="s">
        <v>97</v>
      </c>
      <c r="AI76" s="5" t="s">
        <v>78</v>
      </c>
      <c r="AJ76" s="5" t="s">
        <v>159</v>
      </c>
      <c r="AK76" s="5" t="s">
        <v>101</v>
      </c>
      <c r="AL76" s="5" t="s">
        <v>100</v>
      </c>
      <c r="AM76" s="5">
        <v>1900</v>
      </c>
      <c r="AN76" s="5" t="s">
        <v>92</v>
      </c>
      <c r="AO76" s="5" t="s">
        <v>101</v>
      </c>
      <c r="AP76" s="5" t="s">
        <v>101</v>
      </c>
      <c r="AQ76" s="5" t="s">
        <v>101</v>
      </c>
      <c r="AR76" s="5" t="s">
        <v>101</v>
      </c>
      <c r="AS76" s="5"/>
      <c r="AT76" s="5" t="s">
        <v>104</v>
      </c>
      <c r="AU76" s="5" t="s">
        <v>104</v>
      </c>
      <c r="AV76" s="5" t="s">
        <v>153</v>
      </c>
      <c r="AW76" s="5" t="s">
        <v>101</v>
      </c>
      <c r="AX76" s="5" t="s">
        <v>106</v>
      </c>
      <c r="AY76" s="5">
        <v>8000</v>
      </c>
      <c r="AZ76" s="5">
        <v>10000</v>
      </c>
      <c r="BA76" s="5">
        <v>4250</v>
      </c>
      <c r="BB76" s="5">
        <v>7950</v>
      </c>
      <c r="BC76" s="5">
        <v>6.0000000000000001E-3</v>
      </c>
      <c r="BD76" s="5">
        <v>0.71899999999999997</v>
      </c>
      <c r="BE76" s="5">
        <v>1</v>
      </c>
      <c r="BF76" s="5">
        <v>34424</v>
      </c>
      <c r="BG76" s="5">
        <v>5.5E-2</v>
      </c>
      <c r="BH76" s="5">
        <v>0.5</v>
      </c>
      <c r="BI76" s="5">
        <v>1</v>
      </c>
      <c r="BJ76" s="5">
        <v>1</v>
      </c>
      <c r="BK76" s="5">
        <v>0</v>
      </c>
      <c r="BL76" s="5" t="s">
        <v>107</v>
      </c>
      <c r="BM76" s="5">
        <v>0</v>
      </c>
      <c r="BN76" s="5">
        <v>3.67</v>
      </c>
      <c r="BO76" s="5">
        <v>8730</v>
      </c>
      <c r="BP76" s="5">
        <v>37600</v>
      </c>
    </row>
    <row r="77" spans="1:68" x14ac:dyDescent="0.3">
      <c r="A77" s="5" t="s">
        <v>312</v>
      </c>
      <c r="B77" s="6">
        <v>46312</v>
      </c>
      <c r="C77" s="5" t="s">
        <v>297</v>
      </c>
      <c r="D77" s="5" t="s">
        <v>218</v>
      </c>
      <c r="E77" s="5" t="s">
        <v>138</v>
      </c>
      <c r="F77" s="5" t="s">
        <v>78</v>
      </c>
      <c r="G77" s="5">
        <v>8</v>
      </c>
      <c r="H77" s="5" t="s">
        <v>156</v>
      </c>
      <c r="I77" s="5" t="s">
        <v>80</v>
      </c>
      <c r="J77" s="5" t="s">
        <v>126</v>
      </c>
      <c r="K77" s="5" t="s">
        <v>111</v>
      </c>
      <c r="L77" s="5">
        <v>3</v>
      </c>
      <c r="M77" s="5" t="s">
        <v>173</v>
      </c>
      <c r="N77" s="5" t="s">
        <v>84</v>
      </c>
      <c r="O77" s="5">
        <v>40</v>
      </c>
      <c r="P77" s="5" t="s">
        <v>149</v>
      </c>
      <c r="Q77" s="5">
        <v>6</v>
      </c>
      <c r="R77" s="5">
        <v>4</v>
      </c>
      <c r="S77" s="5" t="s">
        <v>140</v>
      </c>
      <c r="T77" s="5" t="s">
        <v>86</v>
      </c>
      <c r="U77" s="5" t="s">
        <v>129</v>
      </c>
      <c r="V77" s="5">
        <v>660</v>
      </c>
      <c r="W77" s="5" t="s">
        <v>192</v>
      </c>
      <c r="X77" s="5" t="s">
        <v>116</v>
      </c>
      <c r="Y77" s="5" t="s">
        <v>151</v>
      </c>
      <c r="Z77" s="5" t="s">
        <v>168</v>
      </c>
      <c r="AA77" s="5" t="s">
        <v>92</v>
      </c>
      <c r="AB77" s="5" t="s">
        <v>93</v>
      </c>
      <c r="AC77" s="5" t="s">
        <v>118</v>
      </c>
      <c r="AD77" s="5" t="s">
        <v>95</v>
      </c>
      <c r="AE77" s="5" t="s">
        <v>84</v>
      </c>
      <c r="AF77" s="5" t="s">
        <v>144</v>
      </c>
      <c r="AG77" s="5" t="s">
        <v>181</v>
      </c>
      <c r="AH77" s="5" t="s">
        <v>152</v>
      </c>
      <c r="AI77" s="5" t="s">
        <v>78</v>
      </c>
      <c r="AJ77" s="5" t="s">
        <v>159</v>
      </c>
      <c r="AK77" s="5" t="s">
        <v>101</v>
      </c>
      <c r="AL77" s="5" t="s">
        <v>199</v>
      </c>
      <c r="AM77" s="5">
        <v>2400</v>
      </c>
      <c r="AN77" s="5" t="s">
        <v>92</v>
      </c>
      <c r="AO77" s="5" t="s">
        <v>101</v>
      </c>
      <c r="AP77" s="5" t="s">
        <v>101</v>
      </c>
      <c r="AQ77" s="5" t="s">
        <v>101</v>
      </c>
      <c r="AR77" s="5" t="s">
        <v>101</v>
      </c>
      <c r="AS77" s="5"/>
      <c r="AT77" s="5" t="s">
        <v>103</v>
      </c>
      <c r="AU77" s="5" t="s">
        <v>103</v>
      </c>
      <c r="AV77" s="5" t="s">
        <v>103</v>
      </c>
      <c r="AW77" s="5" t="s">
        <v>101</v>
      </c>
      <c r="AX77" s="5" t="s">
        <v>106</v>
      </c>
      <c r="AY77" s="5">
        <v>4250</v>
      </c>
      <c r="AZ77" s="5">
        <v>6000</v>
      </c>
      <c r="BA77" s="5">
        <v>1500</v>
      </c>
      <c r="BB77" s="5">
        <v>3590</v>
      </c>
      <c r="BC77" s="5">
        <v>0.155</v>
      </c>
      <c r="BD77" s="5">
        <v>1.0589999999999999</v>
      </c>
      <c r="BE77" s="5">
        <v>0.85699999999999998</v>
      </c>
      <c r="BF77" s="5">
        <v>15545</v>
      </c>
      <c r="BG77" s="5">
        <v>0.154</v>
      </c>
      <c r="BH77" s="5">
        <v>0</v>
      </c>
      <c r="BI77" s="5">
        <v>2</v>
      </c>
      <c r="BJ77" s="5">
        <v>1</v>
      </c>
      <c r="BK77" s="5">
        <v>0</v>
      </c>
      <c r="BL77" s="5" t="s">
        <v>107</v>
      </c>
      <c r="BM77" s="5">
        <v>1</v>
      </c>
      <c r="BN77" s="5">
        <v>5</v>
      </c>
      <c r="BO77" s="5">
        <v>3610</v>
      </c>
      <c r="BP77" s="5">
        <v>15500</v>
      </c>
    </row>
    <row r="78" spans="1:68" x14ac:dyDescent="0.3">
      <c r="A78" s="5" t="s">
        <v>313</v>
      </c>
      <c r="B78" s="6">
        <v>46314</v>
      </c>
      <c r="C78" s="5" t="s">
        <v>314</v>
      </c>
      <c r="D78" s="5" t="s">
        <v>172</v>
      </c>
      <c r="E78" s="5" t="s">
        <v>187</v>
      </c>
      <c r="F78" s="5" t="s">
        <v>78</v>
      </c>
      <c r="G78" s="5">
        <v>7</v>
      </c>
      <c r="H78" s="5" t="s">
        <v>156</v>
      </c>
      <c r="I78" s="5" t="s">
        <v>80</v>
      </c>
      <c r="J78" s="5" t="s">
        <v>81</v>
      </c>
      <c r="K78" s="5" t="s">
        <v>82</v>
      </c>
      <c r="L78" s="5">
        <v>2</v>
      </c>
      <c r="M78" s="5" t="s">
        <v>112</v>
      </c>
      <c r="N78" s="5" t="s">
        <v>84</v>
      </c>
      <c r="O78" s="5">
        <v>75</v>
      </c>
      <c r="P78" s="5" t="s">
        <v>149</v>
      </c>
      <c r="Q78" s="5">
        <v>7</v>
      </c>
      <c r="R78" s="5">
        <v>15</v>
      </c>
      <c r="S78" s="5" t="s">
        <v>114</v>
      </c>
      <c r="T78" s="5" t="s">
        <v>114</v>
      </c>
      <c r="U78" s="5" t="s">
        <v>87</v>
      </c>
      <c r="V78" s="5">
        <v>3530</v>
      </c>
      <c r="W78" s="5"/>
      <c r="X78" s="5" t="s">
        <v>116</v>
      </c>
      <c r="Y78" s="5" t="s">
        <v>90</v>
      </c>
      <c r="Z78" s="5" t="s">
        <v>168</v>
      </c>
      <c r="AA78" s="5" t="s">
        <v>78</v>
      </c>
      <c r="AB78" s="5" t="s">
        <v>175</v>
      </c>
      <c r="AC78" s="5" t="s">
        <v>94</v>
      </c>
      <c r="AD78" s="5" t="s">
        <v>130</v>
      </c>
      <c r="AE78" s="5" t="s">
        <v>84</v>
      </c>
      <c r="AF78" s="5" t="s">
        <v>92</v>
      </c>
      <c r="AG78" s="5" t="s">
        <v>133</v>
      </c>
      <c r="AH78" s="5" t="s">
        <v>120</v>
      </c>
      <c r="AI78" s="5" t="s">
        <v>92</v>
      </c>
      <c r="AJ78" s="5" t="s">
        <v>98</v>
      </c>
      <c r="AK78" s="5" t="s">
        <v>229</v>
      </c>
      <c r="AL78" s="5" t="s">
        <v>107</v>
      </c>
      <c r="AM78" s="5">
        <v>0</v>
      </c>
      <c r="AN78" s="5" t="s">
        <v>122</v>
      </c>
      <c r="AO78" s="5" t="s">
        <v>101</v>
      </c>
      <c r="AP78" s="5" t="s">
        <v>101</v>
      </c>
      <c r="AQ78" s="5" t="s">
        <v>101</v>
      </c>
      <c r="AR78" s="5" t="s">
        <v>101</v>
      </c>
      <c r="AS78" s="5"/>
      <c r="AT78" s="5" t="s">
        <v>104</v>
      </c>
      <c r="AU78" s="5" t="s">
        <v>104</v>
      </c>
      <c r="AV78" s="5" t="s">
        <v>104</v>
      </c>
      <c r="AW78" s="5" t="s">
        <v>101</v>
      </c>
      <c r="AX78" s="5" t="s">
        <v>106</v>
      </c>
      <c r="AY78" s="5">
        <v>10000</v>
      </c>
      <c r="AZ78" s="5">
        <v>10000</v>
      </c>
      <c r="BA78" s="5">
        <v>8000</v>
      </c>
      <c r="BB78" s="5">
        <v>6470</v>
      </c>
      <c r="BC78" s="5">
        <v>0.35299999999999998</v>
      </c>
      <c r="BD78" s="5">
        <v>0.2</v>
      </c>
      <c r="BE78" s="5">
        <v>1</v>
      </c>
      <c r="BF78" s="5">
        <v>28015</v>
      </c>
      <c r="BG78" s="5">
        <v>0</v>
      </c>
      <c r="BH78" s="5">
        <v>0.5</v>
      </c>
      <c r="BI78" s="5">
        <v>0</v>
      </c>
      <c r="BJ78" s="5">
        <v>0</v>
      </c>
      <c r="BK78" s="5">
        <v>0</v>
      </c>
      <c r="BL78" s="5" t="s">
        <v>107</v>
      </c>
      <c r="BM78" s="5">
        <v>1</v>
      </c>
      <c r="BN78" s="5">
        <v>4</v>
      </c>
      <c r="BO78" s="5">
        <v>11500</v>
      </c>
      <c r="BP78" s="5">
        <v>49400</v>
      </c>
    </row>
    <row r="79" spans="1:68" x14ac:dyDescent="0.3">
      <c r="A79" s="5" t="s">
        <v>315</v>
      </c>
      <c r="B79" s="6">
        <v>46314</v>
      </c>
      <c r="C79" s="5" t="s">
        <v>314</v>
      </c>
      <c r="D79" s="5" t="s">
        <v>76</v>
      </c>
      <c r="E79" s="5" t="s">
        <v>187</v>
      </c>
      <c r="F79" s="5" t="s">
        <v>78</v>
      </c>
      <c r="G79" s="5">
        <v>7</v>
      </c>
      <c r="H79" s="5" t="s">
        <v>156</v>
      </c>
      <c r="I79" s="5" t="s">
        <v>80</v>
      </c>
      <c r="J79" s="5" t="s">
        <v>81</v>
      </c>
      <c r="K79" s="5" t="s">
        <v>127</v>
      </c>
      <c r="L79" s="5">
        <v>4</v>
      </c>
      <c r="M79" s="5" t="s">
        <v>167</v>
      </c>
      <c r="N79" s="5" t="s">
        <v>84</v>
      </c>
      <c r="O79" s="5">
        <v>19</v>
      </c>
      <c r="P79" s="5" t="s">
        <v>113</v>
      </c>
      <c r="Q79" s="5">
        <v>7</v>
      </c>
      <c r="R79" s="5">
        <v>8</v>
      </c>
      <c r="S79" s="5" t="s">
        <v>140</v>
      </c>
      <c r="T79" s="5" t="s">
        <v>86</v>
      </c>
      <c r="U79" s="5" t="s">
        <v>88</v>
      </c>
      <c r="V79" s="5">
        <v>480</v>
      </c>
      <c r="W79" s="5"/>
      <c r="X79" s="5" t="s">
        <v>116</v>
      </c>
      <c r="Y79" s="5" t="s">
        <v>90</v>
      </c>
      <c r="Z79" s="5" t="s">
        <v>168</v>
      </c>
      <c r="AA79" s="5" t="s">
        <v>78</v>
      </c>
      <c r="AB79" s="5" t="s">
        <v>202</v>
      </c>
      <c r="AC79" s="5" t="s">
        <v>118</v>
      </c>
      <c r="AD79" s="5" t="s">
        <v>95</v>
      </c>
      <c r="AE79" s="5" t="s">
        <v>169</v>
      </c>
      <c r="AF79" s="5" t="s">
        <v>144</v>
      </c>
      <c r="AG79" s="5" t="s">
        <v>96</v>
      </c>
      <c r="AH79" s="5" t="s">
        <v>120</v>
      </c>
      <c r="AI79" s="5" t="s">
        <v>78</v>
      </c>
      <c r="AJ79" s="5" t="s">
        <v>216</v>
      </c>
      <c r="AK79" s="5" t="s">
        <v>121</v>
      </c>
      <c r="AL79" s="5" t="s">
        <v>107</v>
      </c>
      <c r="AM79" s="5">
        <v>0</v>
      </c>
      <c r="AN79" s="5" t="s">
        <v>122</v>
      </c>
      <c r="AO79" s="5" t="s">
        <v>101</v>
      </c>
      <c r="AP79" s="5" t="s">
        <v>101</v>
      </c>
      <c r="AQ79" s="5" t="s">
        <v>101</v>
      </c>
      <c r="AR79" s="5" t="s">
        <v>101</v>
      </c>
      <c r="AS79" s="5"/>
      <c r="AT79" s="5" t="s">
        <v>103</v>
      </c>
      <c r="AU79" s="5" t="s">
        <v>104</v>
      </c>
      <c r="AV79" s="5" t="s">
        <v>104</v>
      </c>
      <c r="AW79" s="5" t="s">
        <v>101</v>
      </c>
      <c r="AX79" s="5" t="s">
        <v>106</v>
      </c>
      <c r="AY79" s="5">
        <v>4250</v>
      </c>
      <c r="AZ79" s="5">
        <v>6000</v>
      </c>
      <c r="BA79" s="5">
        <v>2750</v>
      </c>
      <c r="BB79" s="5">
        <v>3770</v>
      </c>
      <c r="BC79" s="5">
        <v>0.113</v>
      </c>
      <c r="BD79" s="5">
        <v>0.76500000000000001</v>
      </c>
      <c r="BE79" s="5">
        <v>1</v>
      </c>
      <c r="BF79" s="5">
        <v>16324</v>
      </c>
      <c r="BG79" s="5">
        <v>0</v>
      </c>
      <c r="BH79" s="5">
        <v>3</v>
      </c>
      <c r="BI79" s="5">
        <v>0</v>
      </c>
      <c r="BJ79" s="5">
        <v>0</v>
      </c>
      <c r="BK79" s="5">
        <v>0</v>
      </c>
      <c r="BL79" s="5" t="s">
        <v>107</v>
      </c>
      <c r="BM79" s="5">
        <v>1</v>
      </c>
      <c r="BN79" s="5">
        <v>4.33</v>
      </c>
      <c r="BO79" s="5">
        <v>4670</v>
      </c>
      <c r="BP79" s="5">
        <v>20100</v>
      </c>
    </row>
    <row r="80" spans="1:68" x14ac:dyDescent="0.3">
      <c r="A80" s="5" t="s">
        <v>316</v>
      </c>
      <c r="B80" s="6">
        <v>46314</v>
      </c>
      <c r="C80" s="5" t="s">
        <v>314</v>
      </c>
      <c r="D80" s="5" t="s">
        <v>76</v>
      </c>
      <c r="E80" s="5" t="s">
        <v>77</v>
      </c>
      <c r="F80" s="5" t="s">
        <v>78</v>
      </c>
      <c r="G80" s="5">
        <v>8</v>
      </c>
      <c r="H80" s="5" t="s">
        <v>156</v>
      </c>
      <c r="I80" s="5" t="s">
        <v>80</v>
      </c>
      <c r="J80" s="5" t="s">
        <v>163</v>
      </c>
      <c r="K80" s="5" t="s">
        <v>127</v>
      </c>
      <c r="L80" s="5">
        <v>2</v>
      </c>
      <c r="M80" s="5" t="s">
        <v>167</v>
      </c>
      <c r="N80" s="5" t="s">
        <v>84</v>
      </c>
      <c r="O80" s="5">
        <v>18</v>
      </c>
      <c r="P80" s="5" t="s">
        <v>85</v>
      </c>
      <c r="Q80" s="5">
        <v>6</v>
      </c>
      <c r="R80" s="5">
        <v>13</v>
      </c>
      <c r="S80" s="5" t="s">
        <v>87</v>
      </c>
      <c r="T80" s="5" t="s">
        <v>114</v>
      </c>
      <c r="U80" s="5" t="s">
        <v>140</v>
      </c>
      <c r="V80" s="5">
        <v>2310</v>
      </c>
      <c r="W80" s="5"/>
      <c r="X80" s="5" t="s">
        <v>116</v>
      </c>
      <c r="Y80" s="5" t="s">
        <v>117</v>
      </c>
      <c r="Z80" s="5" t="s">
        <v>143</v>
      </c>
      <c r="AA80" s="5" t="s">
        <v>78</v>
      </c>
      <c r="AB80" s="5" t="s">
        <v>158</v>
      </c>
      <c r="AC80" s="5" t="s">
        <v>118</v>
      </c>
      <c r="AD80" s="5" t="s">
        <v>95</v>
      </c>
      <c r="AE80" s="5" t="s">
        <v>84</v>
      </c>
      <c r="AF80" s="5" t="s">
        <v>144</v>
      </c>
      <c r="AG80" s="5" t="s">
        <v>96</v>
      </c>
      <c r="AH80" s="5" t="s">
        <v>97</v>
      </c>
      <c r="AI80" s="5" t="s">
        <v>78</v>
      </c>
      <c r="AJ80" s="5" t="s">
        <v>159</v>
      </c>
      <c r="AK80" s="5" t="s">
        <v>101</v>
      </c>
      <c r="AL80" s="5" t="s">
        <v>100</v>
      </c>
      <c r="AM80" s="5">
        <v>3100</v>
      </c>
      <c r="AN80" s="5" t="s">
        <v>92</v>
      </c>
      <c r="AO80" s="5" t="s">
        <v>101</v>
      </c>
      <c r="AP80" s="5" t="s">
        <v>101</v>
      </c>
      <c r="AQ80" s="5" t="s">
        <v>101</v>
      </c>
      <c r="AR80" s="5" t="s">
        <v>101</v>
      </c>
      <c r="AS80" s="5"/>
      <c r="AT80" s="5" t="s">
        <v>103</v>
      </c>
      <c r="AU80" s="5" t="s">
        <v>102</v>
      </c>
      <c r="AV80" s="5" t="s">
        <v>104</v>
      </c>
      <c r="AW80" s="5" t="s">
        <v>160</v>
      </c>
      <c r="AX80" s="5" t="s">
        <v>106</v>
      </c>
      <c r="AY80" s="5">
        <v>8000</v>
      </c>
      <c r="AZ80" s="5">
        <v>10000</v>
      </c>
      <c r="BA80" s="5">
        <v>4250</v>
      </c>
      <c r="BB80" s="5">
        <v>5690</v>
      </c>
      <c r="BC80" s="5">
        <v>0.28899999999999998</v>
      </c>
      <c r="BD80" s="5">
        <v>0.71899999999999997</v>
      </c>
      <c r="BE80" s="5">
        <v>0.85699999999999998</v>
      </c>
      <c r="BF80" s="5">
        <v>24638</v>
      </c>
      <c r="BG80" s="5">
        <v>0.126</v>
      </c>
      <c r="BH80" s="5">
        <v>1.5</v>
      </c>
      <c r="BI80" s="5">
        <v>0</v>
      </c>
      <c r="BJ80" s="5">
        <v>1</v>
      </c>
      <c r="BK80" s="5">
        <v>0</v>
      </c>
      <c r="BL80" s="5" t="s">
        <v>107</v>
      </c>
      <c r="BM80" s="5">
        <v>0</v>
      </c>
      <c r="BN80" s="5">
        <v>3.67</v>
      </c>
      <c r="BO80" s="5">
        <v>8010</v>
      </c>
      <c r="BP80" s="5">
        <v>34500</v>
      </c>
    </row>
    <row r="81" spans="1:68" x14ac:dyDescent="0.3">
      <c r="A81" s="5" t="s">
        <v>317</v>
      </c>
      <c r="B81" s="6">
        <v>46316</v>
      </c>
      <c r="C81" s="5" t="s">
        <v>314</v>
      </c>
      <c r="D81" s="5" t="s">
        <v>172</v>
      </c>
      <c r="E81" s="5" t="s">
        <v>138</v>
      </c>
      <c r="F81" s="5" t="s">
        <v>78</v>
      </c>
      <c r="G81" s="5">
        <v>7</v>
      </c>
      <c r="H81" s="5" t="s">
        <v>156</v>
      </c>
      <c r="I81" s="5" t="s">
        <v>80</v>
      </c>
      <c r="J81" s="5" t="s">
        <v>163</v>
      </c>
      <c r="K81" s="5" t="s">
        <v>111</v>
      </c>
      <c r="L81" s="5">
        <v>3</v>
      </c>
      <c r="M81" s="5" t="s">
        <v>173</v>
      </c>
      <c r="N81" s="5" t="s">
        <v>84</v>
      </c>
      <c r="O81" s="5">
        <v>14</v>
      </c>
      <c r="P81" s="5" t="s">
        <v>113</v>
      </c>
      <c r="Q81" s="5">
        <v>3</v>
      </c>
      <c r="R81" s="5">
        <v>14</v>
      </c>
      <c r="S81" s="5" t="s">
        <v>140</v>
      </c>
      <c r="T81" s="5" t="s">
        <v>86</v>
      </c>
      <c r="U81" s="5" t="s">
        <v>88</v>
      </c>
      <c r="V81" s="5">
        <v>400</v>
      </c>
      <c r="W81" s="5" t="s">
        <v>206</v>
      </c>
      <c r="X81" s="5" t="s">
        <v>142</v>
      </c>
      <c r="Y81" s="5" t="s">
        <v>90</v>
      </c>
      <c r="Z81" s="5" t="s">
        <v>91</v>
      </c>
      <c r="AA81" s="5" t="s">
        <v>92</v>
      </c>
      <c r="AB81" s="5" t="s">
        <v>93</v>
      </c>
      <c r="AC81" s="5" t="s">
        <v>118</v>
      </c>
      <c r="AD81" s="5" t="s">
        <v>95</v>
      </c>
      <c r="AE81" s="5" t="s">
        <v>84</v>
      </c>
      <c r="AF81" s="5" t="s">
        <v>92</v>
      </c>
      <c r="AG81" s="5" t="s">
        <v>133</v>
      </c>
      <c r="AH81" s="5" t="s">
        <v>152</v>
      </c>
      <c r="AI81" s="5" t="s">
        <v>92</v>
      </c>
      <c r="AJ81" s="5" t="s">
        <v>98</v>
      </c>
      <c r="AK81" s="5" t="s">
        <v>99</v>
      </c>
      <c r="AL81" s="5" t="s">
        <v>107</v>
      </c>
      <c r="AM81" s="5">
        <v>0</v>
      </c>
      <c r="AN81" s="5" t="s">
        <v>122</v>
      </c>
      <c r="AO81" s="5" t="s">
        <v>101</v>
      </c>
      <c r="AP81" s="5" t="s">
        <v>101</v>
      </c>
      <c r="AQ81" s="5" t="s">
        <v>101</v>
      </c>
      <c r="AR81" s="5" t="s">
        <v>101</v>
      </c>
      <c r="AS81" s="5"/>
      <c r="AT81" s="5" t="s">
        <v>104</v>
      </c>
      <c r="AU81" s="5" t="s">
        <v>102</v>
      </c>
      <c r="AV81" s="5" t="s">
        <v>103</v>
      </c>
      <c r="AW81" s="5" t="s">
        <v>135</v>
      </c>
      <c r="AX81" s="5" t="s">
        <v>106</v>
      </c>
      <c r="AY81" s="5">
        <v>4250</v>
      </c>
      <c r="AZ81" s="5">
        <v>6000</v>
      </c>
      <c r="BA81" s="5">
        <v>2750</v>
      </c>
      <c r="BB81" s="5">
        <v>3850</v>
      </c>
      <c r="BC81" s="5">
        <v>9.4E-2</v>
      </c>
      <c r="BD81" s="5">
        <v>0.76500000000000001</v>
      </c>
      <c r="BE81" s="5">
        <v>0.42899999999999999</v>
      </c>
      <c r="BF81" s="5">
        <v>16670</v>
      </c>
      <c r="BG81" s="5">
        <v>0</v>
      </c>
      <c r="BH81" s="5">
        <v>0</v>
      </c>
      <c r="BI81" s="5">
        <v>2</v>
      </c>
      <c r="BJ81" s="5">
        <v>0</v>
      </c>
      <c r="BK81" s="5">
        <v>0</v>
      </c>
      <c r="BL81" s="5" t="s">
        <v>107</v>
      </c>
      <c r="BM81" s="5">
        <v>1</v>
      </c>
      <c r="BN81" s="5">
        <v>3.67</v>
      </c>
      <c r="BO81" s="5">
        <v>4630</v>
      </c>
      <c r="BP81" s="5">
        <v>19900</v>
      </c>
    </row>
    <row r="82" spans="1:68" x14ac:dyDescent="0.3">
      <c r="A82" s="5" t="s">
        <v>318</v>
      </c>
      <c r="B82" s="6">
        <v>46314</v>
      </c>
      <c r="C82" s="5" t="s">
        <v>314</v>
      </c>
      <c r="D82" s="5" t="s">
        <v>76</v>
      </c>
      <c r="E82" s="5" t="s">
        <v>138</v>
      </c>
      <c r="F82" s="5" t="s">
        <v>78</v>
      </c>
      <c r="G82" s="5">
        <v>9</v>
      </c>
      <c r="H82" s="5" t="s">
        <v>156</v>
      </c>
      <c r="I82" s="5" t="s">
        <v>80</v>
      </c>
      <c r="J82" s="5" t="s">
        <v>126</v>
      </c>
      <c r="K82" s="5" t="s">
        <v>82</v>
      </c>
      <c r="L82" s="5">
        <v>4</v>
      </c>
      <c r="M82" s="5" t="s">
        <v>167</v>
      </c>
      <c r="N82" s="5" t="s">
        <v>84</v>
      </c>
      <c r="O82" s="5">
        <v>10</v>
      </c>
      <c r="P82" s="5" t="s">
        <v>149</v>
      </c>
      <c r="Q82" s="5">
        <v>6</v>
      </c>
      <c r="R82" s="5">
        <v>10</v>
      </c>
      <c r="S82" s="5" t="s">
        <v>86</v>
      </c>
      <c r="T82" s="5" t="s">
        <v>87</v>
      </c>
      <c r="U82" s="5" t="s">
        <v>86</v>
      </c>
      <c r="V82" s="5">
        <v>1900</v>
      </c>
      <c r="W82" s="5" t="s">
        <v>226</v>
      </c>
      <c r="X82" s="5" t="s">
        <v>116</v>
      </c>
      <c r="Y82" s="5" t="s">
        <v>90</v>
      </c>
      <c r="Z82" s="5" t="s">
        <v>91</v>
      </c>
      <c r="AA82" s="5" t="s">
        <v>92</v>
      </c>
      <c r="AB82" s="5" t="s">
        <v>93</v>
      </c>
      <c r="AC82" s="5" t="s">
        <v>118</v>
      </c>
      <c r="AD82" s="5" t="s">
        <v>130</v>
      </c>
      <c r="AE82" s="5" t="s">
        <v>84</v>
      </c>
      <c r="AF82" s="5" t="s">
        <v>92</v>
      </c>
      <c r="AG82" s="5" t="s">
        <v>133</v>
      </c>
      <c r="AH82" s="5" t="s">
        <v>152</v>
      </c>
      <c r="AI82" s="5" t="s">
        <v>92</v>
      </c>
      <c r="AJ82" s="5" t="s">
        <v>98</v>
      </c>
      <c r="AK82" s="5" t="s">
        <v>211</v>
      </c>
      <c r="AL82" s="5" t="s">
        <v>308</v>
      </c>
      <c r="AM82" s="5">
        <v>1800</v>
      </c>
      <c r="AN82" s="5" t="s">
        <v>92</v>
      </c>
      <c r="AO82" s="5" t="s">
        <v>101</v>
      </c>
      <c r="AP82" s="5" t="s">
        <v>101</v>
      </c>
      <c r="AQ82" s="5" t="s">
        <v>101</v>
      </c>
      <c r="AR82" s="5" t="s">
        <v>101</v>
      </c>
      <c r="AS82" s="5">
        <v>4</v>
      </c>
      <c r="AT82" s="5" t="s">
        <v>103</v>
      </c>
      <c r="AU82" s="5" t="s">
        <v>153</v>
      </c>
      <c r="AV82" s="5" t="s">
        <v>103</v>
      </c>
      <c r="AW82" s="5" t="s">
        <v>101</v>
      </c>
      <c r="AX82" s="5" t="s">
        <v>106</v>
      </c>
      <c r="AY82" s="5">
        <v>6000</v>
      </c>
      <c r="AZ82" s="5">
        <v>8000</v>
      </c>
      <c r="BA82" s="5">
        <v>6000</v>
      </c>
      <c r="BB82" s="5">
        <v>4100</v>
      </c>
      <c r="BC82" s="5">
        <v>0.317</v>
      </c>
      <c r="BD82" s="5">
        <v>0.33300000000000002</v>
      </c>
      <c r="BE82" s="5">
        <v>0.85699999999999998</v>
      </c>
      <c r="BF82" s="5">
        <v>17753</v>
      </c>
      <c r="BG82" s="5">
        <v>0.10100000000000001</v>
      </c>
      <c r="BH82" s="5">
        <v>0</v>
      </c>
      <c r="BI82" s="5">
        <v>1</v>
      </c>
      <c r="BJ82" s="5">
        <v>1</v>
      </c>
      <c r="BK82" s="5">
        <v>0</v>
      </c>
      <c r="BL82" s="5" t="s">
        <v>107</v>
      </c>
      <c r="BM82" s="5">
        <v>1</v>
      </c>
      <c r="BN82" s="5">
        <v>4.33</v>
      </c>
      <c r="BO82" s="5">
        <v>6750</v>
      </c>
      <c r="BP82" s="5">
        <v>29000</v>
      </c>
    </row>
    <row r="83" spans="1:68" x14ac:dyDescent="0.3">
      <c r="A83" s="5" t="s">
        <v>319</v>
      </c>
      <c r="B83" s="6">
        <v>46314</v>
      </c>
      <c r="C83" s="5" t="s">
        <v>314</v>
      </c>
      <c r="D83" s="5" t="s">
        <v>162</v>
      </c>
      <c r="E83" s="5" t="s">
        <v>138</v>
      </c>
      <c r="F83" s="5" t="s">
        <v>78</v>
      </c>
      <c r="G83" s="5">
        <v>10</v>
      </c>
      <c r="H83" s="5" t="s">
        <v>79</v>
      </c>
      <c r="I83" s="5" t="s">
        <v>125</v>
      </c>
      <c r="J83" s="5" t="s">
        <v>81</v>
      </c>
      <c r="K83" s="5" t="s">
        <v>82</v>
      </c>
      <c r="L83" s="5">
        <v>1</v>
      </c>
      <c r="M83" s="5" t="s">
        <v>167</v>
      </c>
      <c r="N83" s="5" t="s">
        <v>84</v>
      </c>
      <c r="O83" s="5">
        <v>17</v>
      </c>
      <c r="P83" s="5" t="s">
        <v>85</v>
      </c>
      <c r="Q83" s="5">
        <v>6</v>
      </c>
      <c r="R83" s="5">
        <v>12</v>
      </c>
      <c r="S83" s="5" t="s">
        <v>86</v>
      </c>
      <c r="T83" s="5" t="s">
        <v>87</v>
      </c>
      <c r="U83" s="5" t="s">
        <v>140</v>
      </c>
      <c r="V83" s="5">
        <v>2230</v>
      </c>
      <c r="W83" s="5" t="s">
        <v>141</v>
      </c>
      <c r="X83" s="5" t="s">
        <v>89</v>
      </c>
      <c r="Y83" s="5" t="s">
        <v>90</v>
      </c>
      <c r="Z83" s="5" t="s">
        <v>168</v>
      </c>
      <c r="AA83" s="5" t="s">
        <v>92</v>
      </c>
      <c r="AB83" s="5" t="s">
        <v>93</v>
      </c>
      <c r="AC83" s="5" t="s">
        <v>118</v>
      </c>
      <c r="AD83" s="5" t="s">
        <v>95</v>
      </c>
      <c r="AE83" s="5" t="s">
        <v>84</v>
      </c>
      <c r="AF83" s="5" t="s">
        <v>144</v>
      </c>
      <c r="AG83" s="5" t="s">
        <v>96</v>
      </c>
      <c r="AH83" s="5" t="s">
        <v>97</v>
      </c>
      <c r="AI83" s="5" t="s">
        <v>78</v>
      </c>
      <c r="AJ83" s="5" t="s">
        <v>216</v>
      </c>
      <c r="AK83" s="5" t="s">
        <v>145</v>
      </c>
      <c r="AL83" s="5" t="s">
        <v>182</v>
      </c>
      <c r="AM83" s="5">
        <v>4100</v>
      </c>
      <c r="AN83" s="5" t="s">
        <v>92</v>
      </c>
      <c r="AO83" s="5" t="s">
        <v>101</v>
      </c>
      <c r="AP83" s="5" t="s">
        <v>101</v>
      </c>
      <c r="AQ83" s="5" t="s">
        <v>101</v>
      </c>
      <c r="AR83" s="5" t="s">
        <v>101</v>
      </c>
      <c r="AS83" s="5"/>
      <c r="AT83" s="5" t="s">
        <v>104</v>
      </c>
      <c r="AU83" s="5" t="s">
        <v>153</v>
      </c>
      <c r="AV83" s="5" t="s">
        <v>220</v>
      </c>
      <c r="AW83" s="5" t="s">
        <v>105</v>
      </c>
      <c r="AX83" s="5" t="s">
        <v>106</v>
      </c>
      <c r="AY83" s="5">
        <v>6000</v>
      </c>
      <c r="AZ83" s="5">
        <v>8000</v>
      </c>
      <c r="BA83" s="5">
        <v>4250</v>
      </c>
      <c r="BB83" s="5">
        <v>3770</v>
      </c>
      <c r="BC83" s="5">
        <v>0.372</v>
      </c>
      <c r="BD83" s="5">
        <v>0.625</v>
      </c>
      <c r="BE83" s="5">
        <v>0.85699999999999998</v>
      </c>
      <c r="BF83" s="5">
        <v>16324</v>
      </c>
      <c r="BG83" s="5">
        <v>0.251</v>
      </c>
      <c r="BH83" s="5">
        <v>0</v>
      </c>
      <c r="BI83" s="5">
        <v>2</v>
      </c>
      <c r="BJ83" s="5">
        <v>2</v>
      </c>
      <c r="BK83" s="5">
        <v>0</v>
      </c>
      <c r="BL83" s="5" t="s">
        <v>107</v>
      </c>
      <c r="BM83" s="5">
        <v>0</v>
      </c>
      <c r="BN83" s="5">
        <v>2.67</v>
      </c>
      <c r="BO83" s="5">
        <v>5480</v>
      </c>
      <c r="BP83" s="5">
        <v>23600</v>
      </c>
    </row>
    <row r="84" spans="1:68" x14ac:dyDescent="0.3">
      <c r="A84" s="5" t="s">
        <v>320</v>
      </c>
      <c r="B84" s="6">
        <v>46314</v>
      </c>
      <c r="C84" s="5" t="s">
        <v>314</v>
      </c>
      <c r="D84" s="5" t="s">
        <v>109</v>
      </c>
      <c r="E84" s="5" t="s">
        <v>187</v>
      </c>
      <c r="F84" s="5" t="s">
        <v>78</v>
      </c>
      <c r="G84" s="5">
        <v>10</v>
      </c>
      <c r="H84" s="5" t="s">
        <v>156</v>
      </c>
      <c r="I84" s="5" t="s">
        <v>80</v>
      </c>
      <c r="J84" s="5" t="s">
        <v>163</v>
      </c>
      <c r="K84" s="5" t="s">
        <v>127</v>
      </c>
      <c r="L84" s="5">
        <v>0</v>
      </c>
      <c r="M84" s="5" t="s">
        <v>173</v>
      </c>
      <c r="N84" s="5" t="s">
        <v>84</v>
      </c>
      <c r="O84" s="5">
        <v>11</v>
      </c>
      <c r="P84" s="5" t="s">
        <v>149</v>
      </c>
      <c r="Q84" s="5">
        <v>7</v>
      </c>
      <c r="R84" s="5">
        <v>6</v>
      </c>
      <c r="S84" s="5" t="s">
        <v>140</v>
      </c>
      <c r="T84" s="5" t="s">
        <v>86</v>
      </c>
      <c r="U84" s="5" t="s">
        <v>88</v>
      </c>
      <c r="V84" s="5">
        <v>1080</v>
      </c>
      <c r="W84" s="5"/>
      <c r="X84" s="5" t="s">
        <v>116</v>
      </c>
      <c r="Y84" s="5" t="s">
        <v>117</v>
      </c>
      <c r="Z84" s="5" t="s">
        <v>168</v>
      </c>
      <c r="AA84" s="5" t="s">
        <v>78</v>
      </c>
      <c r="AB84" s="5" t="s">
        <v>175</v>
      </c>
      <c r="AC84" s="5" t="s">
        <v>94</v>
      </c>
      <c r="AD84" s="5" t="s">
        <v>130</v>
      </c>
      <c r="AE84" s="5" t="s">
        <v>84</v>
      </c>
      <c r="AF84" s="5" t="s">
        <v>144</v>
      </c>
      <c r="AG84" s="5" t="s">
        <v>96</v>
      </c>
      <c r="AH84" s="5" t="s">
        <v>120</v>
      </c>
      <c r="AI84" s="5" t="s">
        <v>92</v>
      </c>
      <c r="AJ84" s="5" t="s">
        <v>98</v>
      </c>
      <c r="AK84" s="5" t="s">
        <v>121</v>
      </c>
      <c r="AL84" s="5" t="s">
        <v>107</v>
      </c>
      <c r="AM84" s="5">
        <v>0</v>
      </c>
      <c r="AN84" s="5" t="s">
        <v>122</v>
      </c>
      <c r="AO84" s="5" t="s">
        <v>101</v>
      </c>
      <c r="AP84" s="5" t="s">
        <v>101</v>
      </c>
      <c r="AQ84" s="5" t="s">
        <v>101</v>
      </c>
      <c r="AR84" s="5" t="s">
        <v>101</v>
      </c>
      <c r="AS84" s="5"/>
      <c r="AT84" s="5" t="s">
        <v>220</v>
      </c>
      <c r="AU84" s="5" t="s">
        <v>103</v>
      </c>
      <c r="AV84" s="5" t="s">
        <v>103</v>
      </c>
      <c r="AW84" s="5" t="s">
        <v>135</v>
      </c>
      <c r="AX84" s="5" t="s">
        <v>106</v>
      </c>
      <c r="AY84" s="5">
        <v>4250</v>
      </c>
      <c r="AZ84" s="5">
        <v>6000</v>
      </c>
      <c r="BA84" s="5">
        <v>2750</v>
      </c>
      <c r="BB84" s="5">
        <v>3170</v>
      </c>
      <c r="BC84" s="5">
        <v>0.254</v>
      </c>
      <c r="BD84" s="5">
        <v>0.76500000000000001</v>
      </c>
      <c r="BE84" s="5">
        <v>1</v>
      </c>
      <c r="BF84" s="5">
        <v>13726</v>
      </c>
      <c r="BG84" s="5">
        <v>0</v>
      </c>
      <c r="BH84" s="5">
        <v>0.5</v>
      </c>
      <c r="BI84" s="5">
        <v>0</v>
      </c>
      <c r="BJ84" s="5">
        <v>0</v>
      </c>
      <c r="BK84" s="5">
        <v>0</v>
      </c>
      <c r="BL84" s="5" t="s">
        <v>107</v>
      </c>
      <c r="BM84" s="5">
        <v>1</v>
      </c>
      <c r="BN84" s="5">
        <v>3.67</v>
      </c>
      <c r="BO84" s="5">
        <v>4210</v>
      </c>
      <c r="BP84" s="5">
        <v>18100</v>
      </c>
    </row>
    <row r="85" spans="1:68" x14ac:dyDescent="0.3">
      <c r="A85" s="5" t="s">
        <v>321</v>
      </c>
      <c r="B85" s="6">
        <v>46314</v>
      </c>
      <c r="C85" s="5" t="s">
        <v>314</v>
      </c>
      <c r="D85" s="5" t="s">
        <v>137</v>
      </c>
      <c r="E85" s="5" t="s">
        <v>138</v>
      </c>
      <c r="F85" s="5" t="s">
        <v>78</v>
      </c>
      <c r="G85" s="5">
        <v>8</v>
      </c>
      <c r="H85" s="5" t="s">
        <v>79</v>
      </c>
      <c r="I85" s="5" t="s">
        <v>80</v>
      </c>
      <c r="J85" s="5" t="s">
        <v>81</v>
      </c>
      <c r="K85" s="5" t="s">
        <v>111</v>
      </c>
      <c r="L85" s="5">
        <v>1</v>
      </c>
      <c r="M85" s="5" t="s">
        <v>197</v>
      </c>
      <c r="N85" s="5" t="s">
        <v>84</v>
      </c>
      <c r="O85" s="5">
        <v>23</v>
      </c>
      <c r="P85" s="5" t="s">
        <v>113</v>
      </c>
      <c r="Q85" s="5">
        <v>6</v>
      </c>
      <c r="R85" s="5">
        <v>6</v>
      </c>
      <c r="S85" s="5" t="s">
        <v>88</v>
      </c>
      <c r="T85" s="5" t="s">
        <v>88</v>
      </c>
      <c r="U85" s="5" t="s">
        <v>129</v>
      </c>
      <c r="V85" s="5">
        <v>940</v>
      </c>
      <c r="W85" s="5" t="s">
        <v>322</v>
      </c>
      <c r="X85" s="5" t="s">
        <v>116</v>
      </c>
      <c r="Y85" s="5" t="s">
        <v>90</v>
      </c>
      <c r="Z85" s="5" t="s">
        <v>143</v>
      </c>
      <c r="AA85" s="5" t="s">
        <v>78</v>
      </c>
      <c r="AB85" s="5" t="s">
        <v>175</v>
      </c>
      <c r="AC85" s="5" t="s">
        <v>215</v>
      </c>
      <c r="AD85" s="5" t="s">
        <v>130</v>
      </c>
      <c r="AE85" s="5" t="s">
        <v>169</v>
      </c>
      <c r="AF85" s="5" t="s">
        <v>144</v>
      </c>
      <c r="AG85" s="5" t="s">
        <v>133</v>
      </c>
      <c r="AH85" s="5" t="s">
        <v>152</v>
      </c>
      <c r="AI85" s="5" t="s">
        <v>92</v>
      </c>
      <c r="AJ85" s="5" t="s">
        <v>98</v>
      </c>
      <c r="AK85" s="5" t="s">
        <v>99</v>
      </c>
      <c r="AL85" s="5" t="s">
        <v>308</v>
      </c>
      <c r="AM85" s="5">
        <v>500</v>
      </c>
      <c r="AN85" s="5" t="s">
        <v>78</v>
      </c>
      <c r="AO85" s="5" t="s">
        <v>244</v>
      </c>
      <c r="AP85" s="5" t="s">
        <v>256</v>
      </c>
      <c r="AQ85" s="5" t="s">
        <v>92</v>
      </c>
      <c r="AR85" s="5" t="s">
        <v>78</v>
      </c>
      <c r="AS85" s="5">
        <v>5</v>
      </c>
      <c r="AT85" s="5" t="s">
        <v>102</v>
      </c>
      <c r="AU85" s="5" t="s">
        <v>104</v>
      </c>
      <c r="AV85" s="5" t="s">
        <v>103</v>
      </c>
      <c r="AW85" s="5" t="s">
        <v>105</v>
      </c>
      <c r="AX85" s="5" t="s">
        <v>106</v>
      </c>
      <c r="AY85" s="5">
        <v>2750</v>
      </c>
      <c r="AZ85" s="5">
        <v>2750</v>
      </c>
      <c r="BA85" s="5">
        <v>1500</v>
      </c>
      <c r="BB85" s="5">
        <v>1810</v>
      </c>
      <c r="BC85" s="5">
        <v>0.34200000000000003</v>
      </c>
      <c r="BD85" s="5">
        <v>0.45500000000000002</v>
      </c>
      <c r="BE85" s="5">
        <v>0.85699999999999998</v>
      </c>
      <c r="BF85" s="5">
        <v>7837</v>
      </c>
      <c r="BG85" s="5">
        <v>6.4000000000000001E-2</v>
      </c>
      <c r="BH85" s="5">
        <v>0.5</v>
      </c>
      <c r="BI85" s="5">
        <v>1</v>
      </c>
      <c r="BJ85" s="5">
        <v>1</v>
      </c>
      <c r="BK85" s="5">
        <v>1</v>
      </c>
      <c r="BL85" s="5" t="s">
        <v>224</v>
      </c>
      <c r="BM85" s="5">
        <v>1</v>
      </c>
      <c r="BN85" s="5">
        <v>3.67</v>
      </c>
      <c r="BO85" s="5">
        <v>2120</v>
      </c>
      <c r="BP85" s="5">
        <v>9100</v>
      </c>
    </row>
    <row r="86" spans="1:68" x14ac:dyDescent="0.3">
      <c r="A86" s="5" t="s">
        <v>323</v>
      </c>
      <c r="B86" s="6">
        <v>46314</v>
      </c>
      <c r="C86" s="5" t="s">
        <v>314</v>
      </c>
      <c r="D86" s="5" t="s">
        <v>109</v>
      </c>
      <c r="E86" s="5" t="s">
        <v>77</v>
      </c>
      <c r="F86" s="5" t="s">
        <v>78</v>
      </c>
      <c r="G86" s="5">
        <v>8</v>
      </c>
      <c r="H86" s="5" t="s">
        <v>156</v>
      </c>
      <c r="I86" s="5" t="s">
        <v>80</v>
      </c>
      <c r="J86" s="5" t="s">
        <v>81</v>
      </c>
      <c r="K86" s="5" t="s">
        <v>82</v>
      </c>
      <c r="L86" s="5">
        <v>0</v>
      </c>
      <c r="M86" s="5" t="s">
        <v>173</v>
      </c>
      <c r="N86" s="5" t="s">
        <v>84</v>
      </c>
      <c r="O86" s="5">
        <v>26</v>
      </c>
      <c r="P86" s="5" t="s">
        <v>113</v>
      </c>
      <c r="Q86" s="5">
        <v>7</v>
      </c>
      <c r="R86" s="5">
        <v>9</v>
      </c>
      <c r="S86" s="5" t="s">
        <v>140</v>
      </c>
      <c r="T86" s="5" t="s">
        <v>86</v>
      </c>
      <c r="U86" s="5" t="s">
        <v>88</v>
      </c>
      <c r="V86" s="5">
        <v>1750</v>
      </c>
      <c r="W86" s="5"/>
      <c r="X86" s="5" t="s">
        <v>116</v>
      </c>
      <c r="Y86" s="5" t="s">
        <v>90</v>
      </c>
      <c r="Z86" s="5" t="s">
        <v>168</v>
      </c>
      <c r="AA86" s="5" t="s">
        <v>78</v>
      </c>
      <c r="AB86" s="5" t="s">
        <v>175</v>
      </c>
      <c r="AC86" s="5" t="s">
        <v>118</v>
      </c>
      <c r="AD86" s="5" t="s">
        <v>95</v>
      </c>
      <c r="AE86" s="5" t="s">
        <v>84</v>
      </c>
      <c r="AF86" s="5" t="s">
        <v>92</v>
      </c>
      <c r="AG86" s="5" t="s">
        <v>133</v>
      </c>
      <c r="AH86" s="5" t="s">
        <v>97</v>
      </c>
      <c r="AI86" s="5" t="s">
        <v>78</v>
      </c>
      <c r="AJ86" s="5" t="s">
        <v>159</v>
      </c>
      <c r="AK86" s="5" t="s">
        <v>101</v>
      </c>
      <c r="AL86" s="5" t="s">
        <v>324</v>
      </c>
      <c r="AM86" s="5">
        <v>5000</v>
      </c>
      <c r="AN86" s="5" t="s">
        <v>92</v>
      </c>
      <c r="AO86" s="5" t="s">
        <v>101</v>
      </c>
      <c r="AP86" s="5" t="s">
        <v>101</v>
      </c>
      <c r="AQ86" s="5" t="s">
        <v>101</v>
      </c>
      <c r="AR86" s="5" t="s">
        <v>101</v>
      </c>
      <c r="AS86" s="5">
        <v>5</v>
      </c>
      <c r="AT86" s="5" t="s">
        <v>103</v>
      </c>
      <c r="AU86" s="5" t="s">
        <v>103</v>
      </c>
      <c r="AV86" s="5" t="s">
        <v>153</v>
      </c>
      <c r="AW86" s="5" t="s">
        <v>101</v>
      </c>
      <c r="AX86" s="5" t="s">
        <v>106</v>
      </c>
      <c r="AY86" s="5">
        <v>4250</v>
      </c>
      <c r="AZ86" s="5">
        <v>6000</v>
      </c>
      <c r="BA86" s="5">
        <v>2750</v>
      </c>
      <c r="BB86" s="5">
        <v>2500</v>
      </c>
      <c r="BC86" s="5">
        <v>0.41199999999999998</v>
      </c>
      <c r="BD86" s="5">
        <v>0.76500000000000001</v>
      </c>
      <c r="BE86" s="5">
        <v>1</v>
      </c>
      <c r="BF86" s="5">
        <v>10825</v>
      </c>
      <c r="BG86" s="5">
        <v>0.46200000000000002</v>
      </c>
      <c r="BH86" s="5">
        <v>0.5</v>
      </c>
      <c r="BI86" s="5">
        <v>0</v>
      </c>
      <c r="BJ86" s="5">
        <v>2</v>
      </c>
      <c r="BK86" s="5">
        <v>0</v>
      </c>
      <c r="BL86" s="5" t="s">
        <v>107</v>
      </c>
      <c r="BM86" s="5">
        <v>0</v>
      </c>
      <c r="BN86" s="5">
        <v>4.33</v>
      </c>
      <c r="BO86" s="5">
        <v>3890</v>
      </c>
      <c r="BP86" s="5">
        <v>16700</v>
      </c>
    </row>
    <row r="87" spans="1:68" x14ac:dyDescent="0.3">
      <c r="A87" s="5" t="s">
        <v>325</v>
      </c>
      <c r="B87" s="6">
        <v>46314</v>
      </c>
      <c r="C87" s="5" t="s">
        <v>314</v>
      </c>
      <c r="D87" s="5" t="s">
        <v>137</v>
      </c>
      <c r="E87" s="5" t="s">
        <v>77</v>
      </c>
      <c r="F87" s="5" t="s">
        <v>78</v>
      </c>
      <c r="G87" s="5">
        <v>8</v>
      </c>
      <c r="H87" s="5" t="s">
        <v>79</v>
      </c>
      <c r="I87" s="5" t="s">
        <v>125</v>
      </c>
      <c r="J87" s="5" t="s">
        <v>81</v>
      </c>
      <c r="K87" s="5" t="s">
        <v>82</v>
      </c>
      <c r="L87" s="5">
        <v>0</v>
      </c>
      <c r="M87" s="5" t="s">
        <v>139</v>
      </c>
      <c r="N87" s="5" t="s">
        <v>84</v>
      </c>
      <c r="O87" s="5">
        <v>65</v>
      </c>
      <c r="P87" s="5" t="s">
        <v>113</v>
      </c>
      <c r="Q87" s="5">
        <v>4</v>
      </c>
      <c r="R87" s="5">
        <v>12</v>
      </c>
      <c r="S87" s="5" t="s">
        <v>140</v>
      </c>
      <c r="T87" s="5" t="s">
        <v>86</v>
      </c>
      <c r="U87" s="5" t="s">
        <v>129</v>
      </c>
      <c r="V87" s="5">
        <v>1500</v>
      </c>
      <c r="W87" s="5"/>
      <c r="X87" s="5" t="s">
        <v>142</v>
      </c>
      <c r="Y87" s="5" t="s">
        <v>117</v>
      </c>
      <c r="Z87" s="5" t="s">
        <v>91</v>
      </c>
      <c r="AA87" s="5" t="s">
        <v>92</v>
      </c>
      <c r="AB87" s="5" t="s">
        <v>93</v>
      </c>
      <c r="AC87" s="5" t="s">
        <v>118</v>
      </c>
      <c r="AD87" s="5" t="s">
        <v>95</v>
      </c>
      <c r="AE87" s="5" t="s">
        <v>84</v>
      </c>
      <c r="AF87" s="5" t="s">
        <v>92</v>
      </c>
      <c r="AG87" s="5" t="s">
        <v>133</v>
      </c>
      <c r="AH87" s="5" t="s">
        <v>120</v>
      </c>
      <c r="AI87" s="5" t="s">
        <v>92</v>
      </c>
      <c r="AJ87" s="5" t="s">
        <v>98</v>
      </c>
      <c r="AK87" s="5" t="s">
        <v>99</v>
      </c>
      <c r="AL87" s="5" t="s">
        <v>308</v>
      </c>
      <c r="AM87" s="5">
        <v>600</v>
      </c>
      <c r="AN87" s="5" t="s">
        <v>92</v>
      </c>
      <c r="AO87" s="5" t="s">
        <v>101</v>
      </c>
      <c r="AP87" s="5" t="s">
        <v>101</v>
      </c>
      <c r="AQ87" s="5" t="s">
        <v>101</v>
      </c>
      <c r="AR87" s="5" t="s">
        <v>101</v>
      </c>
      <c r="AS87" s="5">
        <v>6</v>
      </c>
      <c r="AT87" s="5" t="s">
        <v>104</v>
      </c>
      <c r="AU87" s="5" t="s">
        <v>102</v>
      </c>
      <c r="AV87" s="5" t="s">
        <v>153</v>
      </c>
      <c r="AW87" s="5" t="s">
        <v>135</v>
      </c>
      <c r="AX87" s="5" t="s">
        <v>106</v>
      </c>
      <c r="AY87" s="5">
        <v>4250</v>
      </c>
      <c r="AZ87" s="5">
        <v>6000</v>
      </c>
      <c r="BA87" s="5">
        <v>1500</v>
      </c>
      <c r="BB87" s="5">
        <v>2750</v>
      </c>
      <c r="BC87" s="5">
        <v>0.35299999999999998</v>
      </c>
      <c r="BD87" s="5">
        <v>1.0589999999999999</v>
      </c>
      <c r="BE87" s="5">
        <v>0.57099999999999995</v>
      </c>
      <c r="BF87" s="5">
        <v>11908</v>
      </c>
      <c r="BG87" s="5">
        <v>0.05</v>
      </c>
      <c r="BH87" s="5">
        <v>0</v>
      </c>
      <c r="BI87" s="5">
        <v>0</v>
      </c>
      <c r="BJ87" s="5">
        <v>1</v>
      </c>
      <c r="BK87" s="5">
        <v>0</v>
      </c>
      <c r="BL87" s="5" t="s">
        <v>107</v>
      </c>
      <c r="BM87" s="5">
        <v>1</v>
      </c>
      <c r="BN87" s="5">
        <v>3</v>
      </c>
      <c r="BO87" s="5">
        <v>3670</v>
      </c>
      <c r="BP87" s="5">
        <v>15800</v>
      </c>
    </row>
    <row r="88" spans="1:68" x14ac:dyDescent="0.3">
      <c r="A88" s="5" t="s">
        <v>326</v>
      </c>
      <c r="B88" s="6">
        <v>46314</v>
      </c>
      <c r="C88" s="5" t="s">
        <v>314</v>
      </c>
      <c r="D88" s="5" t="s">
        <v>109</v>
      </c>
      <c r="E88" s="5" t="s">
        <v>138</v>
      </c>
      <c r="F88" s="5" t="s">
        <v>78</v>
      </c>
      <c r="G88" s="5">
        <v>8</v>
      </c>
      <c r="H88" s="5" t="s">
        <v>110</v>
      </c>
      <c r="I88" s="5" t="s">
        <v>80</v>
      </c>
      <c r="J88" s="5" t="s">
        <v>178</v>
      </c>
      <c r="K88" s="5" t="s">
        <v>111</v>
      </c>
      <c r="L88" s="5">
        <v>3</v>
      </c>
      <c r="M88" s="5" t="s">
        <v>173</v>
      </c>
      <c r="N88" s="5" t="s">
        <v>84</v>
      </c>
      <c r="O88" s="5">
        <v>32</v>
      </c>
      <c r="P88" s="5" t="s">
        <v>149</v>
      </c>
      <c r="Q88" s="5">
        <v>7</v>
      </c>
      <c r="R88" s="5">
        <v>8</v>
      </c>
      <c r="S88" s="5" t="s">
        <v>86</v>
      </c>
      <c r="T88" s="5" t="s">
        <v>87</v>
      </c>
      <c r="U88" s="5" t="s">
        <v>88</v>
      </c>
      <c r="V88" s="5">
        <v>470</v>
      </c>
      <c r="W88" s="5" t="s">
        <v>219</v>
      </c>
      <c r="X88" s="5" t="s">
        <v>116</v>
      </c>
      <c r="Y88" s="5" t="s">
        <v>90</v>
      </c>
      <c r="Z88" s="5" t="s">
        <v>91</v>
      </c>
      <c r="AA88" s="5" t="s">
        <v>78</v>
      </c>
      <c r="AB88" s="5" t="s">
        <v>158</v>
      </c>
      <c r="AC88" s="5" t="s">
        <v>118</v>
      </c>
      <c r="AD88" s="5" t="s">
        <v>95</v>
      </c>
      <c r="AE88" s="5" t="s">
        <v>84</v>
      </c>
      <c r="AF88" s="5" t="s">
        <v>132</v>
      </c>
      <c r="AG88" s="5" t="s">
        <v>96</v>
      </c>
      <c r="AH88" s="5" t="s">
        <v>120</v>
      </c>
      <c r="AI88" s="5" t="s">
        <v>78</v>
      </c>
      <c r="AJ88" s="5" t="s">
        <v>216</v>
      </c>
      <c r="AK88" s="5" t="s">
        <v>121</v>
      </c>
      <c r="AL88" s="5" t="s">
        <v>107</v>
      </c>
      <c r="AM88" s="5">
        <v>0</v>
      </c>
      <c r="AN88" s="5" t="s">
        <v>122</v>
      </c>
      <c r="AO88" s="5" t="s">
        <v>101</v>
      </c>
      <c r="AP88" s="5" t="s">
        <v>101</v>
      </c>
      <c r="AQ88" s="5" t="s">
        <v>101</v>
      </c>
      <c r="AR88" s="5" t="s">
        <v>101</v>
      </c>
      <c r="AS88" s="5"/>
      <c r="AT88" s="5" t="s">
        <v>104</v>
      </c>
      <c r="AU88" s="5" t="s">
        <v>102</v>
      </c>
      <c r="AV88" s="5" t="s">
        <v>103</v>
      </c>
      <c r="AW88" s="5" t="s">
        <v>160</v>
      </c>
      <c r="AX88" s="5" t="s">
        <v>106</v>
      </c>
      <c r="AY88" s="5">
        <v>6000</v>
      </c>
      <c r="AZ88" s="5">
        <v>8000</v>
      </c>
      <c r="BA88" s="5">
        <v>2750</v>
      </c>
      <c r="BB88" s="5">
        <v>5530</v>
      </c>
      <c r="BC88" s="5">
        <v>7.8E-2</v>
      </c>
      <c r="BD88" s="5">
        <v>0.875</v>
      </c>
      <c r="BE88" s="5">
        <v>1</v>
      </c>
      <c r="BF88" s="5">
        <v>23945</v>
      </c>
      <c r="BG88" s="5">
        <v>0</v>
      </c>
      <c r="BH88" s="5">
        <v>1.5</v>
      </c>
      <c r="BI88" s="5">
        <v>3</v>
      </c>
      <c r="BJ88" s="5">
        <v>0</v>
      </c>
      <c r="BK88" s="5">
        <v>0</v>
      </c>
      <c r="BL88" s="5" t="s">
        <v>107</v>
      </c>
      <c r="BM88" s="5">
        <v>1</v>
      </c>
      <c r="BN88" s="5">
        <v>3.67</v>
      </c>
      <c r="BO88" s="5">
        <v>5020</v>
      </c>
      <c r="BP88" s="5">
        <v>21600</v>
      </c>
    </row>
    <row r="89" spans="1:68" x14ac:dyDescent="0.3">
      <c r="A89" s="5" t="s">
        <v>327</v>
      </c>
      <c r="B89" s="6">
        <v>46314</v>
      </c>
      <c r="C89" s="5" t="s">
        <v>314</v>
      </c>
      <c r="D89" s="5" t="s">
        <v>172</v>
      </c>
      <c r="E89" s="5" t="s">
        <v>77</v>
      </c>
      <c r="F89" s="5" t="s">
        <v>78</v>
      </c>
      <c r="G89" s="5">
        <v>8</v>
      </c>
      <c r="H89" s="5" t="s">
        <v>110</v>
      </c>
      <c r="I89" s="5" t="s">
        <v>80</v>
      </c>
      <c r="J89" s="5" t="s">
        <v>126</v>
      </c>
      <c r="K89" s="5" t="s">
        <v>82</v>
      </c>
      <c r="L89" s="5">
        <v>0</v>
      </c>
      <c r="M89" s="5" t="s">
        <v>112</v>
      </c>
      <c r="N89" s="5" t="s">
        <v>84</v>
      </c>
      <c r="O89" s="5">
        <v>14</v>
      </c>
      <c r="P89" s="5" t="s">
        <v>149</v>
      </c>
      <c r="Q89" s="5">
        <v>6</v>
      </c>
      <c r="R89" s="5">
        <v>10</v>
      </c>
      <c r="S89" s="5" t="s">
        <v>86</v>
      </c>
      <c r="T89" s="5" t="s">
        <v>87</v>
      </c>
      <c r="U89" s="5" t="s">
        <v>140</v>
      </c>
      <c r="V89" s="5">
        <v>1920</v>
      </c>
      <c r="W89" s="5" t="s">
        <v>263</v>
      </c>
      <c r="X89" s="5" t="s">
        <v>142</v>
      </c>
      <c r="Y89" s="5" t="s">
        <v>90</v>
      </c>
      <c r="Z89" s="5" t="s">
        <v>168</v>
      </c>
      <c r="AA89" s="5" t="s">
        <v>92</v>
      </c>
      <c r="AB89" s="5" t="s">
        <v>93</v>
      </c>
      <c r="AC89" s="5" t="s">
        <v>118</v>
      </c>
      <c r="AD89" s="5" t="s">
        <v>95</v>
      </c>
      <c r="AE89" s="5" t="s">
        <v>169</v>
      </c>
      <c r="AF89" s="5" t="s">
        <v>132</v>
      </c>
      <c r="AG89" s="5" t="s">
        <v>96</v>
      </c>
      <c r="AH89" s="5" t="s">
        <v>120</v>
      </c>
      <c r="AI89" s="5" t="s">
        <v>78</v>
      </c>
      <c r="AJ89" s="5" t="s">
        <v>216</v>
      </c>
      <c r="AK89" s="5" t="s">
        <v>145</v>
      </c>
      <c r="AL89" s="5" t="s">
        <v>107</v>
      </c>
      <c r="AM89" s="5">
        <v>0</v>
      </c>
      <c r="AN89" s="5" t="s">
        <v>122</v>
      </c>
      <c r="AO89" s="5" t="s">
        <v>101</v>
      </c>
      <c r="AP89" s="5" t="s">
        <v>101</v>
      </c>
      <c r="AQ89" s="5" t="s">
        <v>101</v>
      </c>
      <c r="AR89" s="5" t="s">
        <v>101</v>
      </c>
      <c r="AS89" s="5"/>
      <c r="AT89" s="5" t="s">
        <v>104</v>
      </c>
      <c r="AU89" s="5" t="s">
        <v>102</v>
      </c>
      <c r="AV89" s="5" t="s">
        <v>104</v>
      </c>
      <c r="AW89" s="5" t="s">
        <v>160</v>
      </c>
      <c r="AX89" s="5" t="s">
        <v>106</v>
      </c>
      <c r="AY89" s="5">
        <v>6000</v>
      </c>
      <c r="AZ89" s="5">
        <v>8000</v>
      </c>
      <c r="BA89" s="5">
        <v>4250</v>
      </c>
      <c r="BB89" s="5">
        <v>4080</v>
      </c>
      <c r="BC89" s="5">
        <v>0.32</v>
      </c>
      <c r="BD89" s="5">
        <v>0.625</v>
      </c>
      <c r="BE89" s="5">
        <v>0.85699999999999998</v>
      </c>
      <c r="BF89" s="5">
        <v>17666</v>
      </c>
      <c r="BG89" s="5">
        <v>0</v>
      </c>
      <c r="BH89" s="5">
        <v>0</v>
      </c>
      <c r="BI89" s="5">
        <v>1</v>
      </c>
      <c r="BJ89" s="5">
        <v>0</v>
      </c>
      <c r="BK89" s="5">
        <v>0</v>
      </c>
      <c r="BL89" s="5" t="s">
        <v>107</v>
      </c>
      <c r="BM89" s="5">
        <v>1</v>
      </c>
      <c r="BN89" s="5">
        <v>3.33</v>
      </c>
      <c r="BO89" s="5">
        <v>5920</v>
      </c>
      <c r="BP89" s="5">
        <v>25500</v>
      </c>
    </row>
    <row r="90" spans="1:68" x14ac:dyDescent="0.3">
      <c r="A90" s="5" t="s">
        <v>328</v>
      </c>
      <c r="B90" s="6">
        <v>46314</v>
      </c>
      <c r="C90" s="5" t="s">
        <v>314</v>
      </c>
      <c r="D90" s="5" t="s">
        <v>172</v>
      </c>
      <c r="E90" s="5" t="s">
        <v>77</v>
      </c>
      <c r="F90" s="5" t="s">
        <v>78</v>
      </c>
      <c r="G90" s="5">
        <v>9</v>
      </c>
      <c r="H90" s="5" t="s">
        <v>156</v>
      </c>
      <c r="I90" s="5" t="s">
        <v>80</v>
      </c>
      <c r="J90" s="5" t="s">
        <v>196</v>
      </c>
      <c r="K90" s="5" t="s">
        <v>82</v>
      </c>
      <c r="L90" s="5">
        <v>1</v>
      </c>
      <c r="M90" s="5" t="s">
        <v>173</v>
      </c>
      <c r="N90" s="5" t="s">
        <v>84</v>
      </c>
      <c r="O90" s="5">
        <v>3</v>
      </c>
      <c r="P90" s="5" t="s">
        <v>113</v>
      </c>
      <c r="Q90" s="5">
        <v>6</v>
      </c>
      <c r="R90" s="5">
        <v>4</v>
      </c>
      <c r="S90" s="5" t="s">
        <v>129</v>
      </c>
      <c r="T90" s="5" t="s">
        <v>88</v>
      </c>
      <c r="U90" s="5" t="s">
        <v>129</v>
      </c>
      <c r="V90" s="5">
        <v>760</v>
      </c>
      <c r="W90" s="5"/>
      <c r="X90" s="5" t="s">
        <v>116</v>
      </c>
      <c r="Y90" s="5" t="s">
        <v>90</v>
      </c>
      <c r="Z90" s="5" t="s">
        <v>91</v>
      </c>
      <c r="AA90" s="5" t="s">
        <v>92</v>
      </c>
      <c r="AB90" s="5" t="s">
        <v>93</v>
      </c>
      <c r="AC90" s="5" t="s">
        <v>94</v>
      </c>
      <c r="AD90" s="5" t="s">
        <v>95</v>
      </c>
      <c r="AE90" s="5" t="s">
        <v>169</v>
      </c>
      <c r="AF90" s="5" t="s">
        <v>92</v>
      </c>
      <c r="AG90" s="5" t="s">
        <v>181</v>
      </c>
      <c r="AH90" s="5" t="s">
        <v>152</v>
      </c>
      <c r="AI90" s="5" t="s">
        <v>78</v>
      </c>
      <c r="AJ90" s="5" t="s">
        <v>216</v>
      </c>
      <c r="AK90" s="5" t="s">
        <v>121</v>
      </c>
      <c r="AL90" s="5" t="s">
        <v>146</v>
      </c>
      <c r="AM90" s="5">
        <v>0</v>
      </c>
      <c r="AN90" s="5" t="s">
        <v>122</v>
      </c>
      <c r="AO90" s="5" t="s">
        <v>101</v>
      </c>
      <c r="AP90" s="5" t="s">
        <v>101</v>
      </c>
      <c r="AQ90" s="5" t="s">
        <v>101</v>
      </c>
      <c r="AR90" s="5" t="s">
        <v>101</v>
      </c>
      <c r="AS90" s="5"/>
      <c r="AT90" s="5" t="s">
        <v>103</v>
      </c>
      <c r="AU90" s="5" t="s">
        <v>104</v>
      </c>
      <c r="AV90" s="5" t="s">
        <v>102</v>
      </c>
      <c r="AW90" s="5" t="s">
        <v>135</v>
      </c>
      <c r="AX90" s="5" t="s">
        <v>106</v>
      </c>
      <c r="AY90" s="5">
        <v>1500</v>
      </c>
      <c r="AZ90" s="5">
        <v>2750</v>
      </c>
      <c r="BA90" s="5">
        <v>1500</v>
      </c>
      <c r="BB90" s="5">
        <v>740</v>
      </c>
      <c r="BC90" s="5">
        <v>0.50700000000000001</v>
      </c>
      <c r="BD90" s="5">
        <v>0.83299999999999996</v>
      </c>
      <c r="BE90" s="5">
        <v>0.85699999999999998</v>
      </c>
      <c r="BF90" s="5">
        <v>3204</v>
      </c>
      <c r="BG90" s="5">
        <v>0</v>
      </c>
      <c r="BH90" s="5">
        <v>0</v>
      </c>
      <c r="BI90" s="5">
        <v>0</v>
      </c>
      <c r="BJ90" s="5">
        <v>1</v>
      </c>
      <c r="BK90" s="5">
        <v>0</v>
      </c>
      <c r="BL90" s="5" t="s">
        <v>107</v>
      </c>
      <c r="BM90" s="5">
        <v>1</v>
      </c>
      <c r="BN90" s="5">
        <v>3.67</v>
      </c>
      <c r="BO90" s="5">
        <v>1920</v>
      </c>
      <c r="BP90" s="5">
        <v>8300</v>
      </c>
    </row>
    <row r="91" spans="1:68" x14ac:dyDescent="0.3">
      <c r="A91" s="5" t="s">
        <v>329</v>
      </c>
      <c r="B91" s="6">
        <v>46316</v>
      </c>
      <c r="C91" s="5" t="s">
        <v>314</v>
      </c>
      <c r="D91" s="5" t="s">
        <v>172</v>
      </c>
      <c r="E91" s="5" t="s">
        <v>138</v>
      </c>
      <c r="F91" s="5" t="s">
        <v>78</v>
      </c>
      <c r="G91" s="5">
        <v>7</v>
      </c>
      <c r="H91" s="5" t="s">
        <v>156</v>
      </c>
      <c r="I91" s="5" t="s">
        <v>80</v>
      </c>
      <c r="J91" s="5" t="s">
        <v>196</v>
      </c>
      <c r="K91" s="5" t="s">
        <v>82</v>
      </c>
      <c r="L91" s="5">
        <v>4</v>
      </c>
      <c r="M91" s="5" t="s">
        <v>112</v>
      </c>
      <c r="N91" s="5" t="s">
        <v>169</v>
      </c>
      <c r="O91" s="5">
        <v>47</v>
      </c>
      <c r="P91" s="5" t="s">
        <v>85</v>
      </c>
      <c r="Q91" s="5">
        <v>6</v>
      </c>
      <c r="R91" s="5">
        <v>6</v>
      </c>
      <c r="S91" s="5" t="s">
        <v>140</v>
      </c>
      <c r="T91" s="5" t="s">
        <v>87</v>
      </c>
      <c r="U91" s="5" t="s">
        <v>88</v>
      </c>
      <c r="V91" s="5">
        <v>1200</v>
      </c>
      <c r="W91" s="5" t="s">
        <v>330</v>
      </c>
      <c r="X91" s="5" t="s">
        <v>116</v>
      </c>
      <c r="Y91" s="5" t="s">
        <v>90</v>
      </c>
      <c r="Z91" s="5" t="s">
        <v>168</v>
      </c>
      <c r="AA91" s="5" t="s">
        <v>78</v>
      </c>
      <c r="AB91" s="5" t="s">
        <v>202</v>
      </c>
      <c r="AC91" s="5" t="s">
        <v>94</v>
      </c>
      <c r="AD91" s="5" t="s">
        <v>95</v>
      </c>
      <c r="AE91" s="5" t="s">
        <v>84</v>
      </c>
      <c r="AF91" s="5" t="s">
        <v>92</v>
      </c>
      <c r="AG91" s="5" t="s">
        <v>133</v>
      </c>
      <c r="AH91" s="5" t="s">
        <v>97</v>
      </c>
      <c r="AI91" s="5" t="s">
        <v>78</v>
      </c>
      <c r="AJ91" s="5" t="s">
        <v>159</v>
      </c>
      <c r="AK91" s="5" t="s">
        <v>101</v>
      </c>
      <c r="AL91" s="5" t="s">
        <v>199</v>
      </c>
      <c r="AM91" s="5">
        <v>3700</v>
      </c>
      <c r="AN91" s="5" t="s">
        <v>92</v>
      </c>
      <c r="AO91" s="5" t="s">
        <v>101</v>
      </c>
      <c r="AP91" s="5" t="s">
        <v>101</v>
      </c>
      <c r="AQ91" s="5" t="s">
        <v>101</v>
      </c>
      <c r="AR91" s="5" t="s">
        <v>101</v>
      </c>
      <c r="AS91" s="5"/>
      <c r="AT91" s="5" t="s">
        <v>103</v>
      </c>
      <c r="AU91" s="5" t="s">
        <v>153</v>
      </c>
      <c r="AV91" s="5" t="s">
        <v>103</v>
      </c>
      <c r="AW91" s="5" t="s">
        <v>101</v>
      </c>
      <c r="AX91" s="5" t="s">
        <v>106</v>
      </c>
      <c r="AY91" s="5">
        <v>4250</v>
      </c>
      <c r="AZ91" s="5">
        <v>8000</v>
      </c>
      <c r="BA91" s="5">
        <v>2750</v>
      </c>
      <c r="BB91" s="5">
        <v>3050</v>
      </c>
      <c r="BC91" s="5">
        <v>0.28199999999999997</v>
      </c>
      <c r="BD91" s="5">
        <v>1.2350000000000001</v>
      </c>
      <c r="BE91" s="5">
        <v>0.85699999999999998</v>
      </c>
      <c r="BF91" s="5">
        <v>13206</v>
      </c>
      <c r="BG91" s="5">
        <v>0.28000000000000003</v>
      </c>
      <c r="BH91" s="5">
        <v>3</v>
      </c>
      <c r="BI91" s="5">
        <v>4</v>
      </c>
      <c r="BJ91" s="5">
        <v>1</v>
      </c>
      <c r="BK91" s="5">
        <v>0</v>
      </c>
      <c r="BL91" s="5" t="s">
        <v>107</v>
      </c>
      <c r="BM91" s="5">
        <v>0</v>
      </c>
      <c r="BN91" s="5">
        <v>4.33</v>
      </c>
      <c r="BO91" s="5">
        <v>4990</v>
      </c>
      <c r="BP91" s="5">
        <v>21400</v>
      </c>
    </row>
    <row r="92" spans="1:68" x14ac:dyDescent="0.3">
      <c r="A92" s="5" t="s">
        <v>331</v>
      </c>
      <c r="B92" s="6">
        <v>46314</v>
      </c>
      <c r="C92" s="5" t="s">
        <v>314</v>
      </c>
      <c r="D92" s="5" t="s">
        <v>155</v>
      </c>
      <c r="E92" s="5" t="s">
        <v>77</v>
      </c>
      <c r="F92" s="5" t="s">
        <v>78</v>
      </c>
      <c r="G92" s="5">
        <v>9</v>
      </c>
      <c r="H92" s="5" t="s">
        <v>79</v>
      </c>
      <c r="I92" s="5" t="s">
        <v>80</v>
      </c>
      <c r="J92" s="5" t="s">
        <v>196</v>
      </c>
      <c r="K92" s="5" t="s">
        <v>127</v>
      </c>
      <c r="L92" s="5">
        <v>3</v>
      </c>
      <c r="M92" s="5" t="s">
        <v>128</v>
      </c>
      <c r="N92" s="5" t="s">
        <v>84</v>
      </c>
      <c r="O92" s="5">
        <v>37</v>
      </c>
      <c r="P92" s="5" t="s">
        <v>149</v>
      </c>
      <c r="Q92" s="5">
        <v>6</v>
      </c>
      <c r="R92" s="5">
        <v>8</v>
      </c>
      <c r="S92" s="5" t="s">
        <v>140</v>
      </c>
      <c r="T92" s="5" t="s">
        <v>86</v>
      </c>
      <c r="U92" s="5" t="s">
        <v>88</v>
      </c>
      <c r="V92" s="5">
        <v>470</v>
      </c>
      <c r="W92" s="5"/>
      <c r="X92" s="5" t="s">
        <v>142</v>
      </c>
      <c r="Y92" s="5" t="s">
        <v>298</v>
      </c>
      <c r="Z92" s="5" t="s">
        <v>168</v>
      </c>
      <c r="AA92" s="5" t="s">
        <v>92</v>
      </c>
      <c r="AB92" s="5" t="s">
        <v>93</v>
      </c>
      <c r="AC92" s="5" t="s">
        <v>215</v>
      </c>
      <c r="AD92" s="5" t="s">
        <v>95</v>
      </c>
      <c r="AE92" s="5" t="s">
        <v>84</v>
      </c>
      <c r="AF92" s="5" t="s">
        <v>144</v>
      </c>
      <c r="AG92" s="5" t="s">
        <v>96</v>
      </c>
      <c r="AH92" s="5" t="s">
        <v>152</v>
      </c>
      <c r="AI92" s="5" t="s">
        <v>92</v>
      </c>
      <c r="AJ92" s="5" t="s">
        <v>98</v>
      </c>
      <c r="AK92" s="5" t="s">
        <v>229</v>
      </c>
      <c r="AL92" s="5" t="s">
        <v>308</v>
      </c>
      <c r="AM92" s="5">
        <v>1300</v>
      </c>
      <c r="AN92" s="5" t="s">
        <v>92</v>
      </c>
      <c r="AO92" s="5" t="s">
        <v>101</v>
      </c>
      <c r="AP92" s="5" t="s">
        <v>101</v>
      </c>
      <c r="AQ92" s="5" t="s">
        <v>101</v>
      </c>
      <c r="AR92" s="5" t="s">
        <v>101</v>
      </c>
      <c r="AS92" s="5">
        <v>3</v>
      </c>
      <c r="AT92" s="5" t="s">
        <v>153</v>
      </c>
      <c r="AU92" s="5" t="s">
        <v>103</v>
      </c>
      <c r="AV92" s="5" t="s">
        <v>104</v>
      </c>
      <c r="AW92" s="5" t="s">
        <v>101</v>
      </c>
      <c r="AX92" s="5" t="s">
        <v>106</v>
      </c>
      <c r="AY92" s="5">
        <v>4250</v>
      </c>
      <c r="AZ92" s="5">
        <v>6000</v>
      </c>
      <c r="BA92" s="5">
        <v>2750</v>
      </c>
      <c r="BB92" s="5">
        <v>3780</v>
      </c>
      <c r="BC92" s="5">
        <v>0.111</v>
      </c>
      <c r="BD92" s="5">
        <v>0.76500000000000001</v>
      </c>
      <c r="BE92" s="5">
        <v>0.85699999999999998</v>
      </c>
      <c r="BF92" s="5">
        <v>16367</v>
      </c>
      <c r="BG92" s="5">
        <v>7.9000000000000001E-2</v>
      </c>
      <c r="BH92" s="5">
        <v>0</v>
      </c>
      <c r="BI92" s="5">
        <v>0</v>
      </c>
      <c r="BJ92" s="5">
        <v>1</v>
      </c>
      <c r="BK92" s="5">
        <v>0</v>
      </c>
      <c r="BL92" s="5" t="s">
        <v>107</v>
      </c>
      <c r="BM92" s="5">
        <v>1</v>
      </c>
      <c r="BN92" s="5">
        <v>4</v>
      </c>
      <c r="BO92" s="5">
        <v>4040</v>
      </c>
      <c r="BP92" s="5">
        <v>17400</v>
      </c>
    </row>
    <row r="93" spans="1:68" x14ac:dyDescent="0.3">
      <c r="A93" s="5" t="s">
        <v>332</v>
      </c>
      <c r="B93" s="6">
        <v>46314</v>
      </c>
      <c r="C93" s="5" t="s">
        <v>314</v>
      </c>
      <c r="D93" s="5" t="s">
        <v>172</v>
      </c>
      <c r="E93" s="5" t="s">
        <v>77</v>
      </c>
      <c r="F93" s="5" t="s">
        <v>78</v>
      </c>
      <c r="G93" s="5">
        <v>9</v>
      </c>
      <c r="H93" s="5" t="s">
        <v>110</v>
      </c>
      <c r="I93" s="5" t="s">
        <v>80</v>
      </c>
      <c r="J93" s="5" t="s">
        <v>81</v>
      </c>
      <c r="K93" s="5" t="s">
        <v>127</v>
      </c>
      <c r="L93" s="5">
        <v>6</v>
      </c>
      <c r="M93" s="5" t="s">
        <v>112</v>
      </c>
      <c r="N93" s="5" t="s">
        <v>84</v>
      </c>
      <c r="O93" s="5">
        <v>25</v>
      </c>
      <c r="P93" s="5" t="s">
        <v>85</v>
      </c>
      <c r="Q93" s="5">
        <v>5</v>
      </c>
      <c r="R93" s="5">
        <v>12</v>
      </c>
      <c r="S93" s="5" t="s">
        <v>140</v>
      </c>
      <c r="T93" s="5" t="s">
        <v>86</v>
      </c>
      <c r="U93" s="5" t="s">
        <v>88</v>
      </c>
      <c r="V93" s="5">
        <v>1770</v>
      </c>
      <c r="W93" s="5" t="s">
        <v>141</v>
      </c>
      <c r="X93" s="5" t="s">
        <v>116</v>
      </c>
      <c r="Y93" s="5" t="s">
        <v>90</v>
      </c>
      <c r="Z93" s="5" t="s">
        <v>91</v>
      </c>
      <c r="AA93" s="5" t="s">
        <v>92</v>
      </c>
      <c r="AB93" s="5" t="s">
        <v>93</v>
      </c>
      <c r="AC93" s="5" t="s">
        <v>94</v>
      </c>
      <c r="AD93" s="5" t="s">
        <v>119</v>
      </c>
      <c r="AE93" s="5" t="s">
        <v>84</v>
      </c>
      <c r="AF93" s="5" t="s">
        <v>144</v>
      </c>
      <c r="AG93" s="5" t="s">
        <v>181</v>
      </c>
      <c r="AH93" s="5" t="s">
        <v>97</v>
      </c>
      <c r="AI93" s="5" t="s">
        <v>78</v>
      </c>
      <c r="AJ93" s="5" t="s">
        <v>159</v>
      </c>
      <c r="AK93" s="5" t="s">
        <v>101</v>
      </c>
      <c r="AL93" s="5" t="s">
        <v>271</v>
      </c>
      <c r="AM93" s="5">
        <v>3700</v>
      </c>
      <c r="AN93" s="5" t="s">
        <v>78</v>
      </c>
      <c r="AO93" s="5" t="s">
        <v>183</v>
      </c>
      <c r="AP93" s="5" t="s">
        <v>290</v>
      </c>
      <c r="AQ93" s="5" t="s">
        <v>78</v>
      </c>
      <c r="AR93" s="5" t="s">
        <v>92</v>
      </c>
      <c r="AS93" s="5"/>
      <c r="AT93" s="5" t="s">
        <v>103</v>
      </c>
      <c r="AU93" s="5" t="s">
        <v>104</v>
      </c>
      <c r="AV93" s="5" t="s">
        <v>103</v>
      </c>
      <c r="AW93" s="5" t="s">
        <v>101</v>
      </c>
      <c r="AX93" s="5" t="s">
        <v>106</v>
      </c>
      <c r="AY93" s="5">
        <v>4250</v>
      </c>
      <c r="AZ93" s="5">
        <v>6000</v>
      </c>
      <c r="BA93" s="5">
        <v>2750</v>
      </c>
      <c r="BB93" s="5">
        <v>2480</v>
      </c>
      <c r="BC93" s="5">
        <v>0.41599999999999998</v>
      </c>
      <c r="BD93" s="5">
        <v>0.76500000000000001</v>
      </c>
      <c r="BE93" s="5">
        <v>0.71399999999999997</v>
      </c>
      <c r="BF93" s="5">
        <v>10738</v>
      </c>
      <c r="BG93" s="5">
        <v>0.34499999999999997</v>
      </c>
      <c r="BH93" s="5">
        <v>0</v>
      </c>
      <c r="BI93" s="5">
        <v>2</v>
      </c>
      <c r="BJ93" s="5">
        <v>2</v>
      </c>
      <c r="BK93" s="5">
        <v>1</v>
      </c>
      <c r="BL93" s="5" t="s">
        <v>185</v>
      </c>
      <c r="BM93" s="5">
        <v>0</v>
      </c>
      <c r="BN93" s="5">
        <v>4.67</v>
      </c>
      <c r="BO93" s="5">
        <v>3930</v>
      </c>
      <c r="BP93" s="5">
        <v>16900</v>
      </c>
    </row>
    <row r="94" spans="1:68" x14ac:dyDescent="0.3">
      <c r="A94" s="5" t="s">
        <v>333</v>
      </c>
      <c r="B94" s="6">
        <v>46315</v>
      </c>
      <c r="C94" s="5" t="s">
        <v>334</v>
      </c>
      <c r="D94" s="5" t="s">
        <v>155</v>
      </c>
      <c r="E94" s="5" t="s">
        <v>138</v>
      </c>
      <c r="F94" s="5" t="s">
        <v>78</v>
      </c>
      <c r="G94" s="5">
        <v>10</v>
      </c>
      <c r="H94" s="5" t="s">
        <v>79</v>
      </c>
      <c r="I94" s="5" t="s">
        <v>80</v>
      </c>
      <c r="J94" s="5" t="s">
        <v>163</v>
      </c>
      <c r="K94" s="5" t="s">
        <v>82</v>
      </c>
      <c r="L94" s="5">
        <v>2</v>
      </c>
      <c r="M94" s="5" t="s">
        <v>128</v>
      </c>
      <c r="N94" s="5" t="s">
        <v>84</v>
      </c>
      <c r="O94" s="5">
        <v>9</v>
      </c>
      <c r="P94" s="5" t="s">
        <v>149</v>
      </c>
      <c r="Q94" s="5">
        <v>6</v>
      </c>
      <c r="R94" s="5">
        <v>9</v>
      </c>
      <c r="S94" s="5" t="s">
        <v>88</v>
      </c>
      <c r="T94" s="5" t="s">
        <v>140</v>
      </c>
      <c r="U94" s="5" t="s">
        <v>129</v>
      </c>
      <c r="V94" s="5">
        <v>320</v>
      </c>
      <c r="W94" s="5" t="s">
        <v>273</v>
      </c>
      <c r="X94" s="5" t="s">
        <v>116</v>
      </c>
      <c r="Y94" s="5" t="s">
        <v>90</v>
      </c>
      <c r="Z94" s="5" t="s">
        <v>143</v>
      </c>
      <c r="AA94" s="5" t="s">
        <v>92</v>
      </c>
      <c r="AB94" s="5" t="s">
        <v>93</v>
      </c>
      <c r="AC94" s="5" t="s">
        <v>94</v>
      </c>
      <c r="AD94" s="5" t="s">
        <v>95</v>
      </c>
      <c r="AE94" s="5" t="s">
        <v>84</v>
      </c>
      <c r="AF94" s="5" t="s">
        <v>132</v>
      </c>
      <c r="AG94" s="5" t="s">
        <v>181</v>
      </c>
      <c r="AH94" s="5" t="s">
        <v>97</v>
      </c>
      <c r="AI94" s="5" t="s">
        <v>92</v>
      </c>
      <c r="AJ94" s="5" t="s">
        <v>98</v>
      </c>
      <c r="AK94" s="5" t="s">
        <v>99</v>
      </c>
      <c r="AL94" s="5" t="s">
        <v>107</v>
      </c>
      <c r="AM94" s="5">
        <v>0</v>
      </c>
      <c r="AN94" s="5" t="s">
        <v>122</v>
      </c>
      <c r="AO94" s="5" t="s">
        <v>101</v>
      </c>
      <c r="AP94" s="5" t="s">
        <v>101</v>
      </c>
      <c r="AQ94" s="5" t="s">
        <v>101</v>
      </c>
      <c r="AR94" s="5" t="s">
        <v>101</v>
      </c>
      <c r="AS94" s="5"/>
      <c r="AT94" s="5" t="s">
        <v>104</v>
      </c>
      <c r="AU94" s="5" t="s">
        <v>102</v>
      </c>
      <c r="AV94" s="5" t="s">
        <v>220</v>
      </c>
      <c r="AW94" s="5" t="s">
        <v>135</v>
      </c>
      <c r="AX94" s="5" t="s">
        <v>106</v>
      </c>
      <c r="AY94" s="5">
        <v>2750</v>
      </c>
      <c r="AZ94" s="5">
        <v>4250</v>
      </c>
      <c r="BA94" s="5">
        <v>1500</v>
      </c>
      <c r="BB94" s="5">
        <v>2430</v>
      </c>
      <c r="BC94" s="5">
        <v>0.11600000000000001</v>
      </c>
      <c r="BD94" s="5">
        <v>1</v>
      </c>
      <c r="BE94" s="5">
        <v>0.85699999999999998</v>
      </c>
      <c r="BF94" s="5">
        <v>10522</v>
      </c>
      <c r="BG94" s="5">
        <v>0</v>
      </c>
      <c r="BH94" s="5">
        <v>0</v>
      </c>
      <c r="BI94" s="5">
        <v>1</v>
      </c>
      <c r="BJ94" s="5">
        <v>0</v>
      </c>
      <c r="BK94" s="5">
        <v>0</v>
      </c>
      <c r="BL94" s="5" t="s">
        <v>107</v>
      </c>
      <c r="BM94" s="5">
        <v>0</v>
      </c>
      <c r="BN94" s="5">
        <v>2.33</v>
      </c>
      <c r="BO94" s="5">
        <v>3050</v>
      </c>
      <c r="BP94" s="5">
        <v>13100</v>
      </c>
    </row>
    <row r="95" spans="1:68" x14ac:dyDescent="0.3">
      <c r="A95" s="5" t="s">
        <v>335</v>
      </c>
      <c r="B95" s="6">
        <v>46316</v>
      </c>
      <c r="C95" s="5" t="s">
        <v>334</v>
      </c>
      <c r="D95" s="5" t="s">
        <v>124</v>
      </c>
      <c r="E95" s="5" t="s">
        <v>138</v>
      </c>
      <c r="F95" s="5" t="s">
        <v>78</v>
      </c>
      <c r="G95" s="5">
        <v>9</v>
      </c>
      <c r="H95" s="5" t="s">
        <v>110</v>
      </c>
      <c r="I95" s="5" t="s">
        <v>80</v>
      </c>
      <c r="J95" s="5" t="s">
        <v>178</v>
      </c>
      <c r="K95" s="5" t="s">
        <v>127</v>
      </c>
      <c r="L95" s="5">
        <v>0</v>
      </c>
      <c r="M95" s="5" t="s">
        <v>128</v>
      </c>
      <c r="N95" s="5" t="s">
        <v>84</v>
      </c>
      <c r="O95" s="5">
        <v>6</v>
      </c>
      <c r="P95" s="5" t="s">
        <v>113</v>
      </c>
      <c r="Q95" s="5">
        <v>7</v>
      </c>
      <c r="R95" s="5">
        <v>5</v>
      </c>
      <c r="S95" s="5" t="s">
        <v>88</v>
      </c>
      <c r="T95" s="5" t="s">
        <v>140</v>
      </c>
      <c r="U95" s="5" t="s">
        <v>88</v>
      </c>
      <c r="V95" s="5">
        <v>310</v>
      </c>
      <c r="W95" s="5" t="s">
        <v>249</v>
      </c>
      <c r="X95" s="5" t="s">
        <v>116</v>
      </c>
      <c r="Y95" s="5" t="s">
        <v>117</v>
      </c>
      <c r="Z95" s="5" t="s">
        <v>168</v>
      </c>
      <c r="AA95" s="5" t="s">
        <v>78</v>
      </c>
      <c r="AB95" s="5" t="s">
        <v>202</v>
      </c>
      <c r="AC95" s="5" t="s">
        <v>118</v>
      </c>
      <c r="AD95" s="5" t="s">
        <v>95</v>
      </c>
      <c r="AE95" s="5" t="s">
        <v>84</v>
      </c>
      <c r="AF95" s="5" t="s">
        <v>132</v>
      </c>
      <c r="AG95" s="5" t="s">
        <v>133</v>
      </c>
      <c r="AH95" s="5" t="s">
        <v>152</v>
      </c>
      <c r="AI95" s="5" t="s">
        <v>78</v>
      </c>
      <c r="AJ95" s="5" t="s">
        <v>216</v>
      </c>
      <c r="AK95" s="5" t="s">
        <v>121</v>
      </c>
      <c r="AL95" s="5" t="s">
        <v>107</v>
      </c>
      <c r="AM95" s="5">
        <v>0</v>
      </c>
      <c r="AN95" s="5" t="s">
        <v>122</v>
      </c>
      <c r="AO95" s="5" t="s">
        <v>101</v>
      </c>
      <c r="AP95" s="5" t="s">
        <v>101</v>
      </c>
      <c r="AQ95" s="5" t="s">
        <v>101</v>
      </c>
      <c r="AR95" s="5" t="s">
        <v>101</v>
      </c>
      <c r="AS95" s="5"/>
      <c r="AT95" s="5" t="s">
        <v>104</v>
      </c>
      <c r="AU95" s="5" t="s">
        <v>153</v>
      </c>
      <c r="AV95" s="5" t="s">
        <v>102</v>
      </c>
      <c r="AW95" s="5" t="s">
        <v>105</v>
      </c>
      <c r="AX95" s="5" t="s">
        <v>106</v>
      </c>
      <c r="AY95" s="5">
        <v>2750</v>
      </c>
      <c r="AZ95" s="5">
        <v>4250</v>
      </c>
      <c r="BA95" s="5">
        <v>2750</v>
      </c>
      <c r="BB95" s="5">
        <v>2440</v>
      </c>
      <c r="BC95" s="5">
        <v>0.113</v>
      </c>
      <c r="BD95" s="5">
        <v>0.54500000000000004</v>
      </c>
      <c r="BE95" s="5">
        <v>1</v>
      </c>
      <c r="BF95" s="5">
        <v>10565</v>
      </c>
      <c r="BG95" s="5">
        <v>0</v>
      </c>
      <c r="BH95" s="5">
        <v>3</v>
      </c>
      <c r="BI95" s="5">
        <v>3</v>
      </c>
      <c r="BJ95" s="5">
        <v>0</v>
      </c>
      <c r="BK95" s="5">
        <v>0</v>
      </c>
      <c r="BL95" s="5" t="s">
        <v>107</v>
      </c>
      <c r="BM95" s="5">
        <v>1</v>
      </c>
      <c r="BN95" s="5">
        <v>3</v>
      </c>
      <c r="BO95" s="5">
        <v>3320</v>
      </c>
      <c r="BP95" s="5">
        <v>14300</v>
      </c>
    </row>
    <row r="96" spans="1:68" x14ac:dyDescent="0.3">
      <c r="A96" s="5" t="s">
        <v>336</v>
      </c>
      <c r="B96" s="6">
        <v>46315</v>
      </c>
      <c r="C96" s="5" t="s">
        <v>334</v>
      </c>
      <c r="D96" s="5" t="s">
        <v>218</v>
      </c>
      <c r="E96" s="5" t="s">
        <v>187</v>
      </c>
      <c r="F96" s="5" t="s">
        <v>78</v>
      </c>
      <c r="G96" s="5">
        <v>11</v>
      </c>
      <c r="H96" s="5" t="s">
        <v>79</v>
      </c>
      <c r="I96" s="5" t="s">
        <v>80</v>
      </c>
      <c r="J96" s="5" t="s">
        <v>81</v>
      </c>
      <c r="K96" s="5" t="s">
        <v>82</v>
      </c>
      <c r="L96" s="5">
        <v>2</v>
      </c>
      <c r="M96" s="5" t="s">
        <v>112</v>
      </c>
      <c r="N96" s="5" t="s">
        <v>84</v>
      </c>
      <c r="O96" s="5">
        <v>20</v>
      </c>
      <c r="P96" s="5" t="s">
        <v>149</v>
      </c>
      <c r="Q96" s="5">
        <v>7</v>
      </c>
      <c r="R96" s="5">
        <v>9</v>
      </c>
      <c r="S96" s="5" t="s">
        <v>86</v>
      </c>
      <c r="T96" s="5" t="s">
        <v>87</v>
      </c>
      <c r="U96" s="5" t="s">
        <v>140</v>
      </c>
      <c r="V96" s="5">
        <v>1950</v>
      </c>
      <c r="W96" s="5" t="s">
        <v>206</v>
      </c>
      <c r="X96" s="5" t="s">
        <v>89</v>
      </c>
      <c r="Y96" s="5" t="s">
        <v>90</v>
      </c>
      <c r="Z96" s="5" t="s">
        <v>91</v>
      </c>
      <c r="AA96" s="5" t="s">
        <v>92</v>
      </c>
      <c r="AB96" s="5" t="s">
        <v>93</v>
      </c>
      <c r="AC96" s="5" t="s">
        <v>118</v>
      </c>
      <c r="AD96" s="5" t="s">
        <v>95</v>
      </c>
      <c r="AE96" s="5" t="s">
        <v>84</v>
      </c>
      <c r="AF96" s="5" t="s">
        <v>92</v>
      </c>
      <c r="AG96" s="5" t="s">
        <v>133</v>
      </c>
      <c r="AH96" s="5" t="s">
        <v>152</v>
      </c>
      <c r="AI96" s="5" t="s">
        <v>92</v>
      </c>
      <c r="AJ96" s="5" t="s">
        <v>98</v>
      </c>
      <c r="AK96" s="5" t="s">
        <v>229</v>
      </c>
      <c r="AL96" s="5" t="s">
        <v>165</v>
      </c>
      <c r="AM96" s="5">
        <v>0</v>
      </c>
      <c r="AN96" s="5" t="s">
        <v>122</v>
      </c>
      <c r="AO96" s="5" t="s">
        <v>101</v>
      </c>
      <c r="AP96" s="5" t="s">
        <v>101</v>
      </c>
      <c r="AQ96" s="5" t="s">
        <v>101</v>
      </c>
      <c r="AR96" s="5" t="s">
        <v>101</v>
      </c>
      <c r="AS96" s="5"/>
      <c r="AT96" s="5" t="s">
        <v>104</v>
      </c>
      <c r="AU96" s="5" t="s">
        <v>103</v>
      </c>
      <c r="AV96" s="5" t="s">
        <v>103</v>
      </c>
      <c r="AW96" s="5" t="s">
        <v>101</v>
      </c>
      <c r="AX96" s="5" t="s">
        <v>106</v>
      </c>
      <c r="AY96" s="5">
        <v>6000</v>
      </c>
      <c r="AZ96" s="5">
        <v>8000</v>
      </c>
      <c r="BA96" s="5">
        <v>4250</v>
      </c>
      <c r="BB96" s="5">
        <v>4050</v>
      </c>
      <c r="BC96" s="5">
        <v>0.32500000000000001</v>
      </c>
      <c r="BD96" s="5">
        <v>0.625</v>
      </c>
      <c r="BE96" s="5">
        <v>1</v>
      </c>
      <c r="BF96" s="5">
        <v>17536</v>
      </c>
      <c r="BG96" s="5">
        <v>0</v>
      </c>
      <c r="BH96" s="5">
        <v>0</v>
      </c>
      <c r="BI96" s="5">
        <v>2</v>
      </c>
      <c r="BJ96" s="5">
        <v>1</v>
      </c>
      <c r="BK96" s="5">
        <v>0</v>
      </c>
      <c r="BL96" s="5" t="s">
        <v>107</v>
      </c>
      <c r="BM96" s="5">
        <v>1</v>
      </c>
      <c r="BN96" s="5">
        <v>4.67</v>
      </c>
      <c r="BO96" s="5">
        <v>5660</v>
      </c>
      <c r="BP96" s="5">
        <v>24300</v>
      </c>
    </row>
    <row r="97" spans="1:68" x14ac:dyDescent="0.3">
      <c r="A97" s="5" t="s">
        <v>337</v>
      </c>
      <c r="B97" s="6">
        <v>46315</v>
      </c>
      <c r="C97" s="5" t="s">
        <v>334</v>
      </c>
      <c r="D97" s="5" t="s">
        <v>137</v>
      </c>
      <c r="E97" s="5" t="s">
        <v>77</v>
      </c>
      <c r="F97" s="5" t="s">
        <v>78</v>
      </c>
      <c r="G97" s="5">
        <v>10</v>
      </c>
      <c r="H97" s="5" t="s">
        <v>191</v>
      </c>
      <c r="I97" s="5" t="s">
        <v>80</v>
      </c>
      <c r="J97" s="5" t="s">
        <v>81</v>
      </c>
      <c r="K97" s="5" t="s">
        <v>127</v>
      </c>
      <c r="L97" s="5">
        <v>1</v>
      </c>
      <c r="M97" s="5" t="s">
        <v>139</v>
      </c>
      <c r="N97" s="5" t="s">
        <v>84</v>
      </c>
      <c r="O97" s="5">
        <v>4</v>
      </c>
      <c r="P97" s="5" t="s">
        <v>113</v>
      </c>
      <c r="Q97" s="5">
        <v>6</v>
      </c>
      <c r="R97" s="5">
        <v>12</v>
      </c>
      <c r="S97" s="5" t="s">
        <v>140</v>
      </c>
      <c r="T97" s="5" t="s">
        <v>86</v>
      </c>
      <c r="U97" s="5" t="s">
        <v>88</v>
      </c>
      <c r="V97" s="5">
        <v>1750</v>
      </c>
      <c r="W97" s="5"/>
      <c r="X97" s="5" t="s">
        <v>142</v>
      </c>
      <c r="Y97" s="5" t="s">
        <v>90</v>
      </c>
      <c r="Z97" s="5" t="s">
        <v>168</v>
      </c>
      <c r="AA97" s="5" t="s">
        <v>92</v>
      </c>
      <c r="AB97" s="5" t="s">
        <v>93</v>
      </c>
      <c r="AC97" s="5" t="s">
        <v>94</v>
      </c>
      <c r="AD97" s="5" t="s">
        <v>95</v>
      </c>
      <c r="AE97" s="5" t="s">
        <v>84</v>
      </c>
      <c r="AF97" s="5" t="s">
        <v>132</v>
      </c>
      <c r="AG97" s="5" t="s">
        <v>181</v>
      </c>
      <c r="AH97" s="5" t="s">
        <v>152</v>
      </c>
      <c r="AI97" s="5" t="s">
        <v>92</v>
      </c>
      <c r="AJ97" s="5" t="s">
        <v>98</v>
      </c>
      <c r="AK97" s="5" t="s">
        <v>229</v>
      </c>
      <c r="AL97" s="5" t="s">
        <v>308</v>
      </c>
      <c r="AM97" s="5">
        <v>1600</v>
      </c>
      <c r="AN97" s="5" t="s">
        <v>92</v>
      </c>
      <c r="AO97" s="5" t="s">
        <v>101</v>
      </c>
      <c r="AP97" s="5" t="s">
        <v>101</v>
      </c>
      <c r="AQ97" s="5" t="s">
        <v>101</v>
      </c>
      <c r="AR97" s="5" t="s">
        <v>101</v>
      </c>
      <c r="AS97" s="5">
        <v>5</v>
      </c>
      <c r="AT97" s="5" t="s">
        <v>104</v>
      </c>
      <c r="AU97" s="5" t="s">
        <v>103</v>
      </c>
      <c r="AV97" s="5" t="s">
        <v>104</v>
      </c>
      <c r="AW97" s="5" t="s">
        <v>101</v>
      </c>
      <c r="AX97" s="5" t="s">
        <v>106</v>
      </c>
      <c r="AY97" s="5">
        <v>4250</v>
      </c>
      <c r="AZ97" s="5">
        <v>6000</v>
      </c>
      <c r="BA97" s="5">
        <v>2750</v>
      </c>
      <c r="BB97" s="5">
        <v>2500</v>
      </c>
      <c r="BC97" s="5">
        <v>0.41199999999999998</v>
      </c>
      <c r="BD97" s="5">
        <v>0.76500000000000001</v>
      </c>
      <c r="BE97" s="5">
        <v>0.85699999999999998</v>
      </c>
      <c r="BF97" s="5">
        <v>10825</v>
      </c>
      <c r="BG97" s="5">
        <v>0.14799999999999999</v>
      </c>
      <c r="BH97" s="5">
        <v>0</v>
      </c>
      <c r="BI97" s="5">
        <v>0</v>
      </c>
      <c r="BJ97" s="5">
        <v>1</v>
      </c>
      <c r="BK97" s="5">
        <v>0</v>
      </c>
      <c r="BL97" s="5" t="s">
        <v>107</v>
      </c>
      <c r="BM97" s="5">
        <v>1</v>
      </c>
      <c r="BN97" s="5">
        <v>4.33</v>
      </c>
      <c r="BO97" s="5">
        <v>3900</v>
      </c>
      <c r="BP97" s="5">
        <v>16800</v>
      </c>
    </row>
    <row r="98" spans="1:68" x14ac:dyDescent="0.3">
      <c r="A98" s="5" t="s">
        <v>338</v>
      </c>
      <c r="B98" s="6">
        <v>46315</v>
      </c>
      <c r="C98" s="5" t="s">
        <v>334</v>
      </c>
      <c r="D98" s="5" t="s">
        <v>162</v>
      </c>
      <c r="E98" s="5" t="s">
        <v>138</v>
      </c>
      <c r="F98" s="5" t="s">
        <v>78</v>
      </c>
      <c r="G98" s="5">
        <v>9</v>
      </c>
      <c r="H98" s="5" t="s">
        <v>191</v>
      </c>
      <c r="I98" s="5" t="s">
        <v>80</v>
      </c>
      <c r="J98" s="5" t="s">
        <v>196</v>
      </c>
      <c r="K98" s="5" t="s">
        <v>82</v>
      </c>
      <c r="L98" s="5">
        <v>0</v>
      </c>
      <c r="M98" s="5" t="s">
        <v>167</v>
      </c>
      <c r="N98" s="5" t="s">
        <v>84</v>
      </c>
      <c r="O98" s="5">
        <v>38</v>
      </c>
      <c r="P98" s="5" t="s">
        <v>85</v>
      </c>
      <c r="Q98" s="5">
        <v>7</v>
      </c>
      <c r="R98" s="5">
        <v>9</v>
      </c>
      <c r="S98" s="5" t="s">
        <v>140</v>
      </c>
      <c r="T98" s="5" t="s">
        <v>87</v>
      </c>
      <c r="U98" s="5" t="s">
        <v>88</v>
      </c>
      <c r="V98" s="5">
        <v>1900</v>
      </c>
      <c r="W98" s="5" t="s">
        <v>141</v>
      </c>
      <c r="X98" s="5" t="s">
        <v>116</v>
      </c>
      <c r="Y98" s="5" t="s">
        <v>90</v>
      </c>
      <c r="Z98" s="5" t="s">
        <v>143</v>
      </c>
      <c r="AA98" s="5" t="s">
        <v>78</v>
      </c>
      <c r="AB98" s="5" t="s">
        <v>282</v>
      </c>
      <c r="AC98" s="5" t="s">
        <v>118</v>
      </c>
      <c r="AD98" s="5" t="s">
        <v>95</v>
      </c>
      <c r="AE98" s="5" t="s">
        <v>84</v>
      </c>
      <c r="AF98" s="5" t="s">
        <v>92</v>
      </c>
      <c r="AG98" s="5" t="s">
        <v>96</v>
      </c>
      <c r="AH98" s="5" t="s">
        <v>120</v>
      </c>
      <c r="AI98" s="5" t="s">
        <v>78</v>
      </c>
      <c r="AJ98" s="5" t="s">
        <v>216</v>
      </c>
      <c r="AK98" s="5" t="s">
        <v>121</v>
      </c>
      <c r="AL98" s="5" t="s">
        <v>339</v>
      </c>
      <c r="AM98" s="5">
        <v>3100</v>
      </c>
      <c r="AN98" s="5" t="s">
        <v>92</v>
      </c>
      <c r="AO98" s="5" t="s">
        <v>101</v>
      </c>
      <c r="AP98" s="5" t="s">
        <v>101</v>
      </c>
      <c r="AQ98" s="5" t="s">
        <v>101</v>
      </c>
      <c r="AR98" s="5" t="s">
        <v>101</v>
      </c>
      <c r="AS98" s="5"/>
      <c r="AT98" s="5" t="s">
        <v>102</v>
      </c>
      <c r="AU98" s="5" t="s">
        <v>103</v>
      </c>
      <c r="AV98" s="5" t="s">
        <v>104</v>
      </c>
      <c r="AW98" s="5" t="s">
        <v>135</v>
      </c>
      <c r="AX98" s="5" t="s">
        <v>106</v>
      </c>
      <c r="AY98" s="5">
        <v>4250</v>
      </c>
      <c r="AZ98" s="5">
        <v>8000</v>
      </c>
      <c r="BA98" s="5">
        <v>2750</v>
      </c>
      <c r="BB98" s="5">
        <v>2350</v>
      </c>
      <c r="BC98" s="5">
        <v>0.44700000000000001</v>
      </c>
      <c r="BD98" s="5">
        <v>1.2350000000000001</v>
      </c>
      <c r="BE98" s="5">
        <v>1</v>
      </c>
      <c r="BF98" s="5">
        <v>10176</v>
      </c>
      <c r="BG98" s="5">
        <v>0.30499999999999999</v>
      </c>
      <c r="BH98" s="5">
        <v>5</v>
      </c>
      <c r="BI98" s="5">
        <v>2</v>
      </c>
      <c r="BJ98" s="5">
        <v>3</v>
      </c>
      <c r="BK98" s="5">
        <v>0</v>
      </c>
      <c r="BL98" s="5" t="s">
        <v>107</v>
      </c>
      <c r="BM98" s="5">
        <v>1</v>
      </c>
      <c r="BN98" s="5">
        <v>3.67</v>
      </c>
      <c r="BO98" s="5">
        <v>4840</v>
      </c>
      <c r="BP98" s="5">
        <v>20800</v>
      </c>
    </row>
    <row r="99" spans="1:68" x14ac:dyDescent="0.3">
      <c r="A99" s="5" t="s">
        <v>340</v>
      </c>
      <c r="B99" s="6">
        <v>46316</v>
      </c>
      <c r="C99" s="5" t="s">
        <v>334</v>
      </c>
      <c r="D99" s="5" t="s">
        <v>137</v>
      </c>
      <c r="E99" s="5" t="s">
        <v>77</v>
      </c>
      <c r="F99" s="5" t="s">
        <v>78</v>
      </c>
      <c r="G99" s="5">
        <v>11</v>
      </c>
      <c r="H99" s="5" t="s">
        <v>156</v>
      </c>
      <c r="I99" s="5" t="s">
        <v>80</v>
      </c>
      <c r="J99" s="5" t="s">
        <v>163</v>
      </c>
      <c r="K99" s="5" t="s">
        <v>111</v>
      </c>
      <c r="L99" s="5">
        <v>2</v>
      </c>
      <c r="M99" s="5" t="s">
        <v>139</v>
      </c>
      <c r="N99" s="5" t="s">
        <v>131</v>
      </c>
      <c r="O99" s="5">
        <v>15</v>
      </c>
      <c r="P99" s="5" t="s">
        <v>149</v>
      </c>
      <c r="Q99" s="5">
        <v>7</v>
      </c>
      <c r="R99" s="5">
        <v>13</v>
      </c>
      <c r="S99" s="5" t="s">
        <v>87</v>
      </c>
      <c r="T99" s="5" t="s">
        <v>114</v>
      </c>
      <c r="U99" s="5" t="s">
        <v>86</v>
      </c>
      <c r="V99" s="5">
        <v>2490</v>
      </c>
      <c r="W99" s="5" t="s">
        <v>141</v>
      </c>
      <c r="X99" s="5" t="s">
        <v>142</v>
      </c>
      <c r="Y99" s="5" t="s">
        <v>90</v>
      </c>
      <c r="Z99" s="5" t="s">
        <v>91</v>
      </c>
      <c r="AA99" s="5" t="s">
        <v>78</v>
      </c>
      <c r="AB99" s="5" t="s">
        <v>202</v>
      </c>
      <c r="AC99" s="5" t="s">
        <v>118</v>
      </c>
      <c r="AD99" s="5" t="s">
        <v>95</v>
      </c>
      <c r="AE99" s="5" t="s">
        <v>169</v>
      </c>
      <c r="AF99" s="5" t="s">
        <v>92</v>
      </c>
      <c r="AG99" s="5" t="s">
        <v>133</v>
      </c>
      <c r="AH99" s="5" t="s">
        <v>97</v>
      </c>
      <c r="AI99" s="5" t="s">
        <v>92</v>
      </c>
      <c r="AJ99" s="5" t="s">
        <v>98</v>
      </c>
      <c r="AK99" s="5" t="s">
        <v>121</v>
      </c>
      <c r="AL99" s="5" t="s">
        <v>176</v>
      </c>
      <c r="AM99" s="5">
        <v>1400</v>
      </c>
      <c r="AN99" s="5" t="s">
        <v>92</v>
      </c>
      <c r="AO99" s="5" t="s">
        <v>101</v>
      </c>
      <c r="AP99" s="5" t="s">
        <v>101</v>
      </c>
      <c r="AQ99" s="5" t="s">
        <v>101</v>
      </c>
      <c r="AR99" s="5" t="s">
        <v>101</v>
      </c>
      <c r="AS99" s="5"/>
      <c r="AT99" s="5" t="s">
        <v>153</v>
      </c>
      <c r="AU99" s="5" t="s">
        <v>153</v>
      </c>
      <c r="AV99" s="5" t="s">
        <v>153</v>
      </c>
      <c r="AW99" s="5" t="s">
        <v>101</v>
      </c>
      <c r="AX99" s="5" t="s">
        <v>106</v>
      </c>
      <c r="AY99" s="5">
        <v>8000</v>
      </c>
      <c r="AZ99" s="5">
        <v>10000</v>
      </c>
      <c r="BA99" s="5">
        <v>6000</v>
      </c>
      <c r="BB99" s="5">
        <v>5510</v>
      </c>
      <c r="BC99" s="5">
        <v>0.311</v>
      </c>
      <c r="BD99" s="5">
        <v>0.5</v>
      </c>
      <c r="BE99" s="5">
        <v>1</v>
      </c>
      <c r="BF99" s="5">
        <v>23858</v>
      </c>
      <c r="BG99" s="5">
        <v>5.8999999999999997E-2</v>
      </c>
      <c r="BH99" s="5">
        <v>3</v>
      </c>
      <c r="BI99" s="5">
        <v>2</v>
      </c>
      <c r="BJ99" s="5">
        <v>1</v>
      </c>
      <c r="BK99" s="5">
        <v>0</v>
      </c>
      <c r="BL99" s="5" t="s">
        <v>107</v>
      </c>
      <c r="BM99" s="5">
        <v>0</v>
      </c>
      <c r="BN99" s="5">
        <v>3</v>
      </c>
      <c r="BO99" s="5">
        <v>7600</v>
      </c>
      <c r="BP99" s="5">
        <v>32700</v>
      </c>
    </row>
    <row r="100" spans="1:68" x14ac:dyDescent="0.3">
      <c r="A100" s="5" t="s">
        <v>341</v>
      </c>
      <c r="B100" s="6">
        <v>46315</v>
      </c>
      <c r="C100" s="5" t="s">
        <v>334</v>
      </c>
      <c r="D100" s="5" t="s">
        <v>195</v>
      </c>
      <c r="E100" s="5" t="s">
        <v>77</v>
      </c>
      <c r="F100" s="5" t="s">
        <v>78</v>
      </c>
      <c r="G100" s="5">
        <v>8</v>
      </c>
      <c r="H100" s="5" t="s">
        <v>110</v>
      </c>
      <c r="I100" s="5" t="s">
        <v>80</v>
      </c>
      <c r="J100" s="5" t="s">
        <v>81</v>
      </c>
      <c r="K100" s="5" t="s">
        <v>82</v>
      </c>
      <c r="L100" s="5">
        <v>2</v>
      </c>
      <c r="M100" s="5" t="s">
        <v>197</v>
      </c>
      <c r="N100" s="5" t="s">
        <v>169</v>
      </c>
      <c r="O100" s="5">
        <v>3</v>
      </c>
      <c r="P100" s="5" t="s">
        <v>113</v>
      </c>
      <c r="Q100" s="5">
        <v>7</v>
      </c>
      <c r="R100" s="5">
        <v>7</v>
      </c>
      <c r="S100" s="5" t="s">
        <v>86</v>
      </c>
      <c r="T100" s="5" t="s">
        <v>87</v>
      </c>
      <c r="U100" s="5" t="s">
        <v>88</v>
      </c>
      <c r="V100" s="5">
        <v>330</v>
      </c>
      <c r="W100" s="5" t="s">
        <v>164</v>
      </c>
      <c r="X100" s="5" t="s">
        <v>89</v>
      </c>
      <c r="Y100" s="5" t="s">
        <v>90</v>
      </c>
      <c r="Z100" s="5" t="s">
        <v>91</v>
      </c>
      <c r="AA100" s="5" t="s">
        <v>92</v>
      </c>
      <c r="AB100" s="5" t="s">
        <v>93</v>
      </c>
      <c r="AC100" s="5" t="s">
        <v>118</v>
      </c>
      <c r="AD100" s="5" t="s">
        <v>95</v>
      </c>
      <c r="AE100" s="5" t="s">
        <v>169</v>
      </c>
      <c r="AF100" s="5" t="s">
        <v>92</v>
      </c>
      <c r="AG100" s="5" t="s">
        <v>181</v>
      </c>
      <c r="AH100" s="5" t="s">
        <v>97</v>
      </c>
      <c r="AI100" s="5" t="s">
        <v>78</v>
      </c>
      <c r="AJ100" s="5" t="s">
        <v>159</v>
      </c>
      <c r="AK100" s="5" t="s">
        <v>101</v>
      </c>
      <c r="AL100" s="5" t="s">
        <v>193</v>
      </c>
      <c r="AM100" s="5">
        <v>4200</v>
      </c>
      <c r="AN100" s="5" t="s">
        <v>92</v>
      </c>
      <c r="AO100" s="5" t="s">
        <v>101</v>
      </c>
      <c r="AP100" s="5" t="s">
        <v>101</v>
      </c>
      <c r="AQ100" s="5" t="s">
        <v>101</v>
      </c>
      <c r="AR100" s="5" t="s">
        <v>101</v>
      </c>
      <c r="AS100" s="5">
        <v>5</v>
      </c>
      <c r="AT100" s="5" t="s">
        <v>103</v>
      </c>
      <c r="AU100" s="5" t="s">
        <v>220</v>
      </c>
      <c r="AV100" s="5" t="s">
        <v>153</v>
      </c>
      <c r="AW100" s="5" t="s">
        <v>160</v>
      </c>
      <c r="AX100" s="5" t="s">
        <v>106</v>
      </c>
      <c r="AY100" s="5">
        <v>6000</v>
      </c>
      <c r="AZ100" s="5">
        <v>8000</v>
      </c>
      <c r="BA100" s="5">
        <v>2750</v>
      </c>
      <c r="BB100" s="5">
        <v>5670</v>
      </c>
      <c r="BC100" s="5">
        <v>5.5E-2</v>
      </c>
      <c r="BD100" s="5">
        <v>0.875</v>
      </c>
      <c r="BE100" s="5">
        <v>1</v>
      </c>
      <c r="BF100" s="5">
        <v>24551</v>
      </c>
      <c r="BG100" s="5">
        <v>0.17100000000000001</v>
      </c>
      <c r="BH100" s="5">
        <v>0</v>
      </c>
      <c r="BI100" s="5">
        <v>2</v>
      </c>
      <c r="BJ100" s="5">
        <v>2</v>
      </c>
      <c r="BK100" s="5">
        <v>0</v>
      </c>
      <c r="BL100" s="5" t="s">
        <v>107</v>
      </c>
      <c r="BM100" s="5">
        <v>0</v>
      </c>
      <c r="BN100" s="5">
        <v>3</v>
      </c>
      <c r="BO100" s="5">
        <v>5950</v>
      </c>
      <c r="BP100" s="5">
        <v>25600</v>
      </c>
    </row>
    <row r="101" spans="1:68" x14ac:dyDescent="0.3">
      <c r="A101" s="5" t="s">
        <v>342</v>
      </c>
      <c r="B101" s="6">
        <v>46315</v>
      </c>
      <c r="C101" s="5" t="s">
        <v>334</v>
      </c>
      <c r="D101" s="5" t="s">
        <v>76</v>
      </c>
      <c r="E101" s="5" t="s">
        <v>187</v>
      </c>
      <c r="F101" s="5" t="s">
        <v>78</v>
      </c>
      <c r="G101" s="5">
        <v>9</v>
      </c>
      <c r="H101" s="5" t="s">
        <v>110</v>
      </c>
      <c r="I101" s="5" t="s">
        <v>80</v>
      </c>
      <c r="J101" s="5" t="s">
        <v>81</v>
      </c>
      <c r="K101" s="5" t="s">
        <v>82</v>
      </c>
      <c r="L101" s="5">
        <v>0</v>
      </c>
      <c r="M101" s="5" t="s">
        <v>167</v>
      </c>
      <c r="N101" s="5" t="s">
        <v>169</v>
      </c>
      <c r="O101" s="5">
        <v>46</v>
      </c>
      <c r="P101" s="5" t="s">
        <v>149</v>
      </c>
      <c r="Q101" s="5">
        <v>3</v>
      </c>
      <c r="R101" s="5">
        <v>6</v>
      </c>
      <c r="S101" s="5" t="s">
        <v>129</v>
      </c>
      <c r="T101" s="5" t="s">
        <v>88</v>
      </c>
      <c r="U101" s="5" t="s">
        <v>129</v>
      </c>
      <c r="V101" s="5">
        <v>560</v>
      </c>
      <c r="W101" s="5" t="s">
        <v>214</v>
      </c>
      <c r="X101" s="5" t="s">
        <v>142</v>
      </c>
      <c r="Y101" s="5" t="s">
        <v>90</v>
      </c>
      <c r="Z101" s="5" t="s">
        <v>168</v>
      </c>
      <c r="AA101" s="5" t="s">
        <v>78</v>
      </c>
      <c r="AB101" s="5" t="s">
        <v>202</v>
      </c>
      <c r="AC101" s="5" t="s">
        <v>118</v>
      </c>
      <c r="AD101" s="5" t="s">
        <v>95</v>
      </c>
      <c r="AE101" s="5" t="s">
        <v>84</v>
      </c>
      <c r="AF101" s="5" t="s">
        <v>132</v>
      </c>
      <c r="AG101" s="5" t="s">
        <v>96</v>
      </c>
      <c r="AH101" s="5" t="s">
        <v>152</v>
      </c>
      <c r="AI101" s="5" t="s">
        <v>92</v>
      </c>
      <c r="AJ101" s="5" t="s">
        <v>98</v>
      </c>
      <c r="AK101" s="5" t="s">
        <v>99</v>
      </c>
      <c r="AL101" s="5" t="s">
        <v>107</v>
      </c>
      <c r="AM101" s="5">
        <v>0</v>
      </c>
      <c r="AN101" s="5" t="s">
        <v>122</v>
      </c>
      <c r="AO101" s="5" t="s">
        <v>101</v>
      </c>
      <c r="AP101" s="5" t="s">
        <v>101</v>
      </c>
      <c r="AQ101" s="5" t="s">
        <v>101</v>
      </c>
      <c r="AR101" s="5" t="s">
        <v>101</v>
      </c>
      <c r="AS101" s="5"/>
      <c r="AT101" s="5" t="s">
        <v>104</v>
      </c>
      <c r="AU101" s="5" t="s">
        <v>104</v>
      </c>
      <c r="AV101" s="5" t="s">
        <v>153</v>
      </c>
      <c r="AW101" s="5" t="s">
        <v>101</v>
      </c>
      <c r="AX101" s="5" t="s">
        <v>106</v>
      </c>
      <c r="AY101" s="5">
        <v>1500</v>
      </c>
      <c r="AZ101" s="5">
        <v>2750</v>
      </c>
      <c r="BA101" s="5">
        <v>1500</v>
      </c>
      <c r="BB101" s="5">
        <v>940</v>
      </c>
      <c r="BC101" s="5">
        <v>0.373</v>
      </c>
      <c r="BD101" s="5">
        <v>0.83299999999999996</v>
      </c>
      <c r="BE101" s="5">
        <v>0.42899999999999999</v>
      </c>
      <c r="BF101" s="5">
        <v>4070</v>
      </c>
      <c r="BG101" s="5">
        <v>0</v>
      </c>
      <c r="BH101" s="5">
        <v>3</v>
      </c>
      <c r="BI101" s="5">
        <v>1</v>
      </c>
      <c r="BJ101" s="5">
        <v>0</v>
      </c>
      <c r="BK101" s="5">
        <v>0</v>
      </c>
      <c r="BL101" s="5" t="s">
        <v>107</v>
      </c>
      <c r="BM101" s="5">
        <v>1</v>
      </c>
      <c r="BN101" s="5">
        <v>3.67</v>
      </c>
      <c r="BO101" s="5">
        <v>1740</v>
      </c>
      <c r="BP101" s="5">
        <v>7500</v>
      </c>
    </row>
    <row r="102" spans="1:68" x14ac:dyDescent="0.3">
      <c r="A102" s="5" t="s">
        <v>343</v>
      </c>
      <c r="B102" s="6">
        <v>46315</v>
      </c>
      <c r="C102" s="5" t="s">
        <v>334</v>
      </c>
      <c r="D102" s="5" t="s">
        <v>195</v>
      </c>
      <c r="E102" s="5" t="s">
        <v>138</v>
      </c>
      <c r="F102" s="5" t="s">
        <v>78</v>
      </c>
      <c r="G102" s="5">
        <v>7</v>
      </c>
      <c r="H102" s="5" t="s">
        <v>156</v>
      </c>
      <c r="I102" s="5" t="s">
        <v>80</v>
      </c>
      <c r="J102" s="5" t="s">
        <v>178</v>
      </c>
      <c r="K102" s="5" t="s">
        <v>82</v>
      </c>
      <c r="L102" s="5">
        <v>3</v>
      </c>
      <c r="M102" s="5" t="s">
        <v>197</v>
      </c>
      <c r="N102" s="5" t="s">
        <v>84</v>
      </c>
      <c r="O102" s="5">
        <v>6</v>
      </c>
      <c r="P102" s="5" t="s">
        <v>85</v>
      </c>
      <c r="Q102" s="5">
        <v>6</v>
      </c>
      <c r="R102" s="5">
        <v>8</v>
      </c>
      <c r="S102" s="5" t="s">
        <v>140</v>
      </c>
      <c r="T102" s="5" t="s">
        <v>86</v>
      </c>
      <c r="U102" s="5" t="s">
        <v>129</v>
      </c>
      <c r="V102" s="5">
        <v>1180</v>
      </c>
      <c r="W102" s="5"/>
      <c r="X102" s="5" t="s">
        <v>142</v>
      </c>
      <c r="Y102" s="5" t="s">
        <v>90</v>
      </c>
      <c r="Z102" s="5" t="s">
        <v>143</v>
      </c>
      <c r="AA102" s="5" t="s">
        <v>78</v>
      </c>
      <c r="AB102" s="5" t="s">
        <v>158</v>
      </c>
      <c r="AC102" s="5" t="s">
        <v>118</v>
      </c>
      <c r="AD102" s="5" t="s">
        <v>95</v>
      </c>
      <c r="AE102" s="5" t="s">
        <v>169</v>
      </c>
      <c r="AF102" s="5" t="s">
        <v>92</v>
      </c>
      <c r="AG102" s="5" t="s">
        <v>133</v>
      </c>
      <c r="AH102" s="5" t="s">
        <v>97</v>
      </c>
      <c r="AI102" s="5" t="s">
        <v>92</v>
      </c>
      <c r="AJ102" s="5" t="s">
        <v>98</v>
      </c>
      <c r="AK102" s="5" t="s">
        <v>99</v>
      </c>
      <c r="AL102" s="5" t="s">
        <v>199</v>
      </c>
      <c r="AM102" s="5">
        <v>4100</v>
      </c>
      <c r="AN102" s="5" t="s">
        <v>92</v>
      </c>
      <c r="AO102" s="5" t="s">
        <v>101</v>
      </c>
      <c r="AP102" s="5" t="s">
        <v>101</v>
      </c>
      <c r="AQ102" s="5" t="s">
        <v>101</v>
      </c>
      <c r="AR102" s="5" t="s">
        <v>101</v>
      </c>
      <c r="AS102" s="5"/>
      <c r="AT102" s="5" t="s">
        <v>220</v>
      </c>
      <c r="AU102" s="5" t="s">
        <v>220</v>
      </c>
      <c r="AV102" s="5" t="s">
        <v>103</v>
      </c>
      <c r="AW102" s="5" t="s">
        <v>135</v>
      </c>
      <c r="AX102" s="5" t="s">
        <v>106</v>
      </c>
      <c r="AY102" s="5">
        <v>4250</v>
      </c>
      <c r="AZ102" s="5">
        <v>6000</v>
      </c>
      <c r="BA102" s="5">
        <v>1500</v>
      </c>
      <c r="BB102" s="5">
        <v>3070</v>
      </c>
      <c r="BC102" s="5">
        <v>0.27800000000000002</v>
      </c>
      <c r="BD102" s="5">
        <v>1.0589999999999999</v>
      </c>
      <c r="BE102" s="5">
        <v>0.85699999999999998</v>
      </c>
      <c r="BF102" s="5">
        <v>13293</v>
      </c>
      <c r="BG102" s="5">
        <v>0.308</v>
      </c>
      <c r="BH102" s="5">
        <v>1.5</v>
      </c>
      <c r="BI102" s="5">
        <v>0</v>
      </c>
      <c r="BJ102" s="5">
        <v>1</v>
      </c>
      <c r="BK102" s="5">
        <v>0</v>
      </c>
      <c r="BL102" s="5" t="s">
        <v>107</v>
      </c>
      <c r="BM102" s="5">
        <v>0</v>
      </c>
      <c r="BN102" s="5">
        <v>2.33</v>
      </c>
      <c r="BO102" s="5">
        <v>3590</v>
      </c>
      <c r="BP102" s="5">
        <v>15400</v>
      </c>
    </row>
    <row r="103" spans="1:68" x14ac:dyDescent="0.3">
      <c r="A103" s="5" t="s">
        <v>344</v>
      </c>
      <c r="B103" s="6">
        <v>46315</v>
      </c>
      <c r="C103" s="5" t="s">
        <v>334</v>
      </c>
      <c r="D103" s="5" t="s">
        <v>172</v>
      </c>
      <c r="E103" s="5" t="s">
        <v>138</v>
      </c>
      <c r="F103" s="5" t="s">
        <v>78</v>
      </c>
      <c r="G103" s="5">
        <v>10</v>
      </c>
      <c r="H103" s="5" t="s">
        <v>79</v>
      </c>
      <c r="I103" s="5" t="s">
        <v>80</v>
      </c>
      <c r="J103" s="5" t="s">
        <v>163</v>
      </c>
      <c r="K103" s="5" t="s">
        <v>111</v>
      </c>
      <c r="L103" s="5">
        <v>6</v>
      </c>
      <c r="M103" s="5" t="s">
        <v>112</v>
      </c>
      <c r="N103" s="5" t="s">
        <v>84</v>
      </c>
      <c r="O103" s="5">
        <v>17</v>
      </c>
      <c r="P103" s="5" t="s">
        <v>85</v>
      </c>
      <c r="Q103" s="5">
        <v>7</v>
      </c>
      <c r="R103" s="5">
        <v>6</v>
      </c>
      <c r="S103" s="5" t="s">
        <v>140</v>
      </c>
      <c r="T103" s="5" t="s">
        <v>140</v>
      </c>
      <c r="U103" s="5" t="s">
        <v>129</v>
      </c>
      <c r="V103" s="5">
        <v>1060</v>
      </c>
      <c r="W103" s="5" t="s">
        <v>226</v>
      </c>
      <c r="X103" s="5" t="s">
        <v>116</v>
      </c>
      <c r="Y103" s="5" t="s">
        <v>117</v>
      </c>
      <c r="Z103" s="5" t="s">
        <v>91</v>
      </c>
      <c r="AA103" s="5" t="s">
        <v>92</v>
      </c>
      <c r="AB103" s="5" t="s">
        <v>93</v>
      </c>
      <c r="AC103" s="5" t="s">
        <v>215</v>
      </c>
      <c r="AD103" s="5" t="s">
        <v>130</v>
      </c>
      <c r="AE103" s="5" t="s">
        <v>169</v>
      </c>
      <c r="AF103" s="5" t="s">
        <v>132</v>
      </c>
      <c r="AG103" s="5" t="s">
        <v>96</v>
      </c>
      <c r="AH103" s="5" t="s">
        <v>97</v>
      </c>
      <c r="AI103" s="5" t="s">
        <v>92</v>
      </c>
      <c r="AJ103" s="5" t="s">
        <v>98</v>
      </c>
      <c r="AK103" s="5" t="s">
        <v>99</v>
      </c>
      <c r="AL103" s="5" t="s">
        <v>259</v>
      </c>
      <c r="AM103" s="5">
        <v>4800</v>
      </c>
      <c r="AN103" s="5" t="s">
        <v>92</v>
      </c>
      <c r="AO103" s="5" t="s">
        <v>101</v>
      </c>
      <c r="AP103" s="5" t="s">
        <v>101</v>
      </c>
      <c r="AQ103" s="5" t="s">
        <v>101</v>
      </c>
      <c r="AR103" s="5" t="s">
        <v>101</v>
      </c>
      <c r="AS103" s="5"/>
      <c r="AT103" s="5" t="s">
        <v>220</v>
      </c>
      <c r="AU103" s="5" t="s">
        <v>103</v>
      </c>
      <c r="AV103" s="5" t="s">
        <v>153</v>
      </c>
      <c r="AW103" s="5" t="s">
        <v>147</v>
      </c>
      <c r="AX103" s="5" t="s">
        <v>106</v>
      </c>
      <c r="AY103" s="5">
        <v>4250</v>
      </c>
      <c r="AZ103" s="5">
        <v>4250</v>
      </c>
      <c r="BA103" s="5">
        <v>1500</v>
      </c>
      <c r="BB103" s="5">
        <v>3190</v>
      </c>
      <c r="BC103" s="5">
        <v>0.249</v>
      </c>
      <c r="BD103" s="5">
        <v>0.64700000000000002</v>
      </c>
      <c r="BE103" s="5">
        <v>1</v>
      </c>
      <c r="BF103" s="5">
        <v>13813</v>
      </c>
      <c r="BG103" s="5">
        <v>0.34699999999999998</v>
      </c>
      <c r="BH103" s="5">
        <v>0</v>
      </c>
      <c r="BI103" s="5">
        <v>1</v>
      </c>
      <c r="BJ103" s="5">
        <v>2</v>
      </c>
      <c r="BK103" s="5">
        <v>0</v>
      </c>
      <c r="BL103" s="5" t="s">
        <v>107</v>
      </c>
      <c r="BM103" s="5">
        <v>0</v>
      </c>
      <c r="BN103" s="5">
        <v>3</v>
      </c>
      <c r="BO103" s="5">
        <v>3520</v>
      </c>
      <c r="BP103" s="5">
        <v>15100</v>
      </c>
    </row>
    <row r="104" spans="1:68" x14ac:dyDescent="0.3">
      <c r="A104" s="5" t="s">
        <v>345</v>
      </c>
      <c r="B104" s="6">
        <v>46315</v>
      </c>
      <c r="C104" s="5" t="s">
        <v>334</v>
      </c>
      <c r="D104" s="5" t="s">
        <v>76</v>
      </c>
      <c r="E104" s="5" t="s">
        <v>77</v>
      </c>
      <c r="F104" s="5" t="s">
        <v>78</v>
      </c>
      <c r="G104" s="5">
        <v>9</v>
      </c>
      <c r="H104" s="5" t="s">
        <v>156</v>
      </c>
      <c r="I104" s="5" t="s">
        <v>80</v>
      </c>
      <c r="J104" s="5" t="s">
        <v>178</v>
      </c>
      <c r="K104" s="5" t="s">
        <v>82</v>
      </c>
      <c r="L104" s="5">
        <v>4</v>
      </c>
      <c r="M104" s="5" t="s">
        <v>83</v>
      </c>
      <c r="N104" s="5" t="s">
        <v>169</v>
      </c>
      <c r="O104" s="5">
        <v>90</v>
      </c>
      <c r="P104" s="5" t="s">
        <v>149</v>
      </c>
      <c r="Q104" s="5">
        <v>7</v>
      </c>
      <c r="R104" s="5">
        <v>12</v>
      </c>
      <c r="S104" s="5" t="s">
        <v>87</v>
      </c>
      <c r="T104" s="5" t="s">
        <v>114</v>
      </c>
      <c r="U104" s="5" t="s">
        <v>140</v>
      </c>
      <c r="V104" s="5">
        <v>2230</v>
      </c>
      <c r="W104" s="5" t="s">
        <v>346</v>
      </c>
      <c r="X104" s="5" t="s">
        <v>116</v>
      </c>
      <c r="Y104" s="5" t="s">
        <v>90</v>
      </c>
      <c r="Z104" s="5" t="s">
        <v>168</v>
      </c>
      <c r="AA104" s="5" t="s">
        <v>92</v>
      </c>
      <c r="AB104" s="5" t="s">
        <v>93</v>
      </c>
      <c r="AC104" s="5" t="s">
        <v>118</v>
      </c>
      <c r="AD104" s="5" t="s">
        <v>95</v>
      </c>
      <c r="AE104" s="5" t="s">
        <v>169</v>
      </c>
      <c r="AF104" s="5" t="s">
        <v>92</v>
      </c>
      <c r="AG104" s="5" t="s">
        <v>96</v>
      </c>
      <c r="AH104" s="5" t="s">
        <v>97</v>
      </c>
      <c r="AI104" s="5" t="s">
        <v>92</v>
      </c>
      <c r="AJ104" s="5" t="s">
        <v>98</v>
      </c>
      <c r="AK104" s="5" t="s">
        <v>134</v>
      </c>
      <c r="AL104" s="5" t="s">
        <v>107</v>
      </c>
      <c r="AM104" s="5">
        <v>0</v>
      </c>
      <c r="AN104" s="5" t="s">
        <v>122</v>
      </c>
      <c r="AO104" s="5" t="s">
        <v>101</v>
      </c>
      <c r="AP104" s="5" t="s">
        <v>101</v>
      </c>
      <c r="AQ104" s="5" t="s">
        <v>101</v>
      </c>
      <c r="AR104" s="5" t="s">
        <v>101</v>
      </c>
      <c r="AS104" s="5"/>
      <c r="AT104" s="5" t="s">
        <v>102</v>
      </c>
      <c r="AU104" s="5" t="s">
        <v>104</v>
      </c>
      <c r="AV104" s="5" t="s">
        <v>103</v>
      </c>
      <c r="AW104" s="5" t="s">
        <v>105</v>
      </c>
      <c r="AX104" s="5" t="s">
        <v>106</v>
      </c>
      <c r="AY104" s="5">
        <v>8000</v>
      </c>
      <c r="AZ104" s="5">
        <v>10000</v>
      </c>
      <c r="BA104" s="5">
        <v>4250</v>
      </c>
      <c r="BB104" s="5">
        <v>5770</v>
      </c>
      <c r="BC104" s="5">
        <v>0.27900000000000003</v>
      </c>
      <c r="BD104" s="5">
        <v>0.71899999999999997</v>
      </c>
      <c r="BE104" s="5">
        <v>1</v>
      </c>
      <c r="BF104" s="5">
        <v>24984</v>
      </c>
      <c r="BG104" s="5">
        <v>0</v>
      </c>
      <c r="BH104" s="5">
        <v>0</v>
      </c>
      <c r="BI104" s="5">
        <v>4</v>
      </c>
      <c r="BJ104" s="5">
        <v>0</v>
      </c>
      <c r="BK104" s="5">
        <v>0</v>
      </c>
      <c r="BL104" s="5" t="s">
        <v>107</v>
      </c>
      <c r="BM104" s="5">
        <v>0</v>
      </c>
      <c r="BN104" s="5">
        <v>3.67</v>
      </c>
      <c r="BO104" s="5">
        <v>7120</v>
      </c>
      <c r="BP104" s="5">
        <v>30600</v>
      </c>
    </row>
    <row r="105" spans="1:68" x14ac:dyDescent="0.3">
      <c r="A105" s="5" t="s">
        <v>347</v>
      </c>
      <c r="B105" s="6">
        <v>46315</v>
      </c>
      <c r="C105" s="5" t="s">
        <v>334</v>
      </c>
      <c r="D105" s="5" t="s">
        <v>155</v>
      </c>
      <c r="E105" s="5" t="s">
        <v>138</v>
      </c>
      <c r="F105" s="5" t="s">
        <v>78</v>
      </c>
      <c r="G105" s="5">
        <v>11</v>
      </c>
      <c r="H105" s="5" t="s">
        <v>79</v>
      </c>
      <c r="I105" s="5" t="s">
        <v>80</v>
      </c>
      <c r="J105" s="5" t="s">
        <v>178</v>
      </c>
      <c r="K105" s="5" t="s">
        <v>82</v>
      </c>
      <c r="L105" s="5">
        <v>1</v>
      </c>
      <c r="M105" s="5" t="s">
        <v>128</v>
      </c>
      <c r="N105" s="5" t="s">
        <v>84</v>
      </c>
      <c r="O105" s="5">
        <v>58</v>
      </c>
      <c r="P105" s="5" t="s">
        <v>149</v>
      </c>
      <c r="Q105" s="5">
        <v>6</v>
      </c>
      <c r="R105" s="5">
        <v>7</v>
      </c>
      <c r="S105" s="5" t="s">
        <v>140</v>
      </c>
      <c r="T105" s="5" t="s">
        <v>87</v>
      </c>
      <c r="U105" s="5" t="s">
        <v>88</v>
      </c>
      <c r="V105" s="5">
        <v>1040</v>
      </c>
      <c r="W105" s="5" t="s">
        <v>249</v>
      </c>
      <c r="X105" s="5" t="s">
        <v>142</v>
      </c>
      <c r="Y105" s="5" t="s">
        <v>117</v>
      </c>
      <c r="Z105" s="5" t="s">
        <v>143</v>
      </c>
      <c r="AA105" s="5" t="s">
        <v>92</v>
      </c>
      <c r="AB105" s="5" t="s">
        <v>93</v>
      </c>
      <c r="AC105" s="5" t="s">
        <v>118</v>
      </c>
      <c r="AD105" s="5" t="s">
        <v>95</v>
      </c>
      <c r="AE105" s="5" t="s">
        <v>169</v>
      </c>
      <c r="AF105" s="5" t="s">
        <v>92</v>
      </c>
      <c r="AG105" s="5" t="s">
        <v>181</v>
      </c>
      <c r="AH105" s="5" t="s">
        <v>152</v>
      </c>
      <c r="AI105" s="5" t="s">
        <v>78</v>
      </c>
      <c r="AJ105" s="5" t="s">
        <v>216</v>
      </c>
      <c r="AK105" s="5" t="s">
        <v>121</v>
      </c>
      <c r="AL105" s="5" t="s">
        <v>189</v>
      </c>
      <c r="AM105" s="5">
        <v>600</v>
      </c>
      <c r="AN105" s="5" t="s">
        <v>92</v>
      </c>
      <c r="AO105" s="5" t="s">
        <v>101</v>
      </c>
      <c r="AP105" s="5" t="s">
        <v>101</v>
      </c>
      <c r="AQ105" s="5" t="s">
        <v>101</v>
      </c>
      <c r="AR105" s="5" t="s">
        <v>101</v>
      </c>
      <c r="AS105" s="5">
        <v>3</v>
      </c>
      <c r="AT105" s="5" t="s">
        <v>103</v>
      </c>
      <c r="AU105" s="5" t="s">
        <v>103</v>
      </c>
      <c r="AV105" s="5" t="s">
        <v>102</v>
      </c>
      <c r="AW105" s="5" t="s">
        <v>105</v>
      </c>
      <c r="AX105" s="5" t="s">
        <v>106</v>
      </c>
      <c r="AY105" s="5">
        <v>4250</v>
      </c>
      <c r="AZ105" s="5">
        <v>8000</v>
      </c>
      <c r="BA105" s="5">
        <v>2750</v>
      </c>
      <c r="BB105" s="5">
        <v>3210</v>
      </c>
      <c r="BC105" s="5">
        <v>0.245</v>
      </c>
      <c r="BD105" s="5">
        <v>1.2350000000000001</v>
      </c>
      <c r="BE105" s="5">
        <v>0.85699999999999998</v>
      </c>
      <c r="BF105" s="5">
        <v>13899</v>
      </c>
      <c r="BG105" s="5">
        <v>4.2999999999999997E-2</v>
      </c>
      <c r="BH105" s="5">
        <v>0</v>
      </c>
      <c r="BI105" s="5">
        <v>3</v>
      </c>
      <c r="BJ105" s="5">
        <v>2</v>
      </c>
      <c r="BK105" s="5">
        <v>0</v>
      </c>
      <c r="BL105" s="5" t="s">
        <v>107</v>
      </c>
      <c r="BM105" s="5">
        <v>1</v>
      </c>
      <c r="BN105" s="5">
        <v>4</v>
      </c>
      <c r="BO105" s="5">
        <v>4960</v>
      </c>
      <c r="BP105" s="5">
        <v>21300</v>
      </c>
    </row>
    <row r="106" spans="1:68" x14ac:dyDescent="0.3">
      <c r="A106" s="5" t="s">
        <v>348</v>
      </c>
      <c r="B106" s="6">
        <v>46315</v>
      </c>
      <c r="C106" s="5" t="s">
        <v>334</v>
      </c>
      <c r="D106" s="5" t="s">
        <v>162</v>
      </c>
      <c r="E106" s="5" t="s">
        <v>77</v>
      </c>
      <c r="F106" s="5" t="s">
        <v>78</v>
      </c>
      <c r="G106" s="5">
        <v>8</v>
      </c>
      <c r="H106" s="5" t="s">
        <v>79</v>
      </c>
      <c r="I106" s="5" t="s">
        <v>80</v>
      </c>
      <c r="J106" s="5" t="s">
        <v>178</v>
      </c>
      <c r="K106" s="5" t="s">
        <v>82</v>
      </c>
      <c r="L106" s="5">
        <v>3</v>
      </c>
      <c r="M106" s="5" t="s">
        <v>179</v>
      </c>
      <c r="N106" s="5" t="s">
        <v>84</v>
      </c>
      <c r="O106" s="5">
        <v>91</v>
      </c>
      <c r="P106" s="5" t="s">
        <v>85</v>
      </c>
      <c r="Q106" s="5">
        <v>5</v>
      </c>
      <c r="R106" s="5">
        <v>15</v>
      </c>
      <c r="S106" s="5" t="s">
        <v>86</v>
      </c>
      <c r="T106" s="5" t="s">
        <v>114</v>
      </c>
      <c r="U106" s="5" t="s">
        <v>140</v>
      </c>
      <c r="V106" s="5">
        <v>2650</v>
      </c>
      <c r="W106" s="5" t="s">
        <v>252</v>
      </c>
      <c r="X106" s="5" t="s">
        <v>116</v>
      </c>
      <c r="Y106" s="5" t="s">
        <v>117</v>
      </c>
      <c r="Z106" s="5" t="s">
        <v>168</v>
      </c>
      <c r="AA106" s="5" t="s">
        <v>92</v>
      </c>
      <c r="AB106" s="5" t="s">
        <v>93</v>
      </c>
      <c r="AC106" s="5" t="s">
        <v>118</v>
      </c>
      <c r="AD106" s="5" t="s">
        <v>95</v>
      </c>
      <c r="AE106" s="5" t="s">
        <v>84</v>
      </c>
      <c r="AF106" s="5" t="s">
        <v>92</v>
      </c>
      <c r="AG106" s="5" t="s">
        <v>96</v>
      </c>
      <c r="AH106" s="5" t="s">
        <v>97</v>
      </c>
      <c r="AI106" s="5" t="s">
        <v>92</v>
      </c>
      <c r="AJ106" s="5" t="s">
        <v>98</v>
      </c>
      <c r="AK106" s="5" t="s">
        <v>145</v>
      </c>
      <c r="AL106" s="5" t="s">
        <v>302</v>
      </c>
      <c r="AM106" s="5">
        <v>5700</v>
      </c>
      <c r="AN106" s="5" t="s">
        <v>78</v>
      </c>
      <c r="AO106" s="5" t="s">
        <v>183</v>
      </c>
      <c r="AP106" s="5" t="s">
        <v>279</v>
      </c>
      <c r="AQ106" s="5" t="s">
        <v>78</v>
      </c>
      <c r="AR106" s="5" t="s">
        <v>78</v>
      </c>
      <c r="AS106" s="5"/>
      <c r="AT106" s="5" t="s">
        <v>103</v>
      </c>
      <c r="AU106" s="5" t="s">
        <v>220</v>
      </c>
      <c r="AV106" s="5" t="s">
        <v>104</v>
      </c>
      <c r="AW106" s="5" t="s">
        <v>135</v>
      </c>
      <c r="AX106" s="5" t="s">
        <v>106</v>
      </c>
      <c r="AY106" s="5">
        <v>6000</v>
      </c>
      <c r="AZ106" s="5">
        <v>10000</v>
      </c>
      <c r="BA106" s="5">
        <v>4250</v>
      </c>
      <c r="BB106" s="5">
        <v>3350</v>
      </c>
      <c r="BC106" s="5">
        <v>0.442</v>
      </c>
      <c r="BD106" s="5">
        <v>0.95799999999999996</v>
      </c>
      <c r="BE106" s="5">
        <v>0.71399999999999997</v>
      </c>
      <c r="BF106" s="5">
        <v>14506</v>
      </c>
      <c r="BG106" s="5">
        <v>0.39300000000000002</v>
      </c>
      <c r="BH106" s="5">
        <v>0</v>
      </c>
      <c r="BI106" s="5">
        <v>3</v>
      </c>
      <c r="BJ106" s="5">
        <v>2</v>
      </c>
      <c r="BK106" s="5">
        <v>1</v>
      </c>
      <c r="BL106" s="5" t="s">
        <v>185</v>
      </c>
      <c r="BM106" s="5">
        <v>0</v>
      </c>
      <c r="BN106" s="5">
        <v>3.33</v>
      </c>
      <c r="BO106" s="5">
        <v>6500</v>
      </c>
      <c r="BP106" s="5">
        <v>27900</v>
      </c>
    </row>
    <row r="107" spans="1:68" x14ac:dyDescent="0.3">
      <c r="A107" s="5" t="s">
        <v>349</v>
      </c>
      <c r="B107" s="6">
        <v>46316</v>
      </c>
      <c r="C107" s="5" t="s">
        <v>334</v>
      </c>
      <c r="D107" s="5" t="s">
        <v>137</v>
      </c>
      <c r="E107" s="5" t="s">
        <v>77</v>
      </c>
      <c r="F107" s="5" t="s">
        <v>78</v>
      </c>
      <c r="G107" s="5">
        <v>7</v>
      </c>
      <c r="H107" s="5" t="s">
        <v>191</v>
      </c>
      <c r="I107" s="5" t="s">
        <v>80</v>
      </c>
      <c r="J107" s="5" t="s">
        <v>81</v>
      </c>
      <c r="K107" s="5" t="s">
        <v>111</v>
      </c>
      <c r="L107" s="5">
        <v>3</v>
      </c>
      <c r="M107" s="5" t="s">
        <v>197</v>
      </c>
      <c r="N107" s="5" t="s">
        <v>84</v>
      </c>
      <c r="O107" s="5">
        <v>5</v>
      </c>
      <c r="P107" s="5" t="s">
        <v>85</v>
      </c>
      <c r="Q107" s="5">
        <v>6</v>
      </c>
      <c r="R107" s="5">
        <v>5</v>
      </c>
      <c r="S107" s="5" t="s">
        <v>129</v>
      </c>
      <c r="T107" s="5" t="s">
        <v>88</v>
      </c>
      <c r="U107" s="5" t="s">
        <v>129</v>
      </c>
      <c r="V107" s="5">
        <v>740</v>
      </c>
      <c r="W107" s="5" t="s">
        <v>174</v>
      </c>
      <c r="X107" s="5" t="s">
        <v>116</v>
      </c>
      <c r="Y107" s="5" t="s">
        <v>90</v>
      </c>
      <c r="Z107" s="5" t="s">
        <v>91</v>
      </c>
      <c r="AA107" s="5" t="s">
        <v>92</v>
      </c>
      <c r="AB107" s="5" t="s">
        <v>93</v>
      </c>
      <c r="AC107" s="5" t="s">
        <v>118</v>
      </c>
      <c r="AD107" s="5" t="s">
        <v>95</v>
      </c>
      <c r="AE107" s="5" t="s">
        <v>169</v>
      </c>
      <c r="AF107" s="5" t="s">
        <v>92</v>
      </c>
      <c r="AG107" s="5" t="s">
        <v>181</v>
      </c>
      <c r="AH107" s="5" t="s">
        <v>97</v>
      </c>
      <c r="AI107" s="5" t="s">
        <v>92</v>
      </c>
      <c r="AJ107" s="5" t="s">
        <v>98</v>
      </c>
      <c r="AK107" s="5" t="s">
        <v>211</v>
      </c>
      <c r="AL107" s="5" t="s">
        <v>199</v>
      </c>
      <c r="AM107" s="5">
        <v>3700</v>
      </c>
      <c r="AN107" s="5" t="s">
        <v>78</v>
      </c>
      <c r="AO107" s="5" t="s">
        <v>223</v>
      </c>
      <c r="AP107" s="5" t="s">
        <v>279</v>
      </c>
      <c r="AQ107" s="5" t="s">
        <v>92</v>
      </c>
      <c r="AR107" s="5" t="s">
        <v>78</v>
      </c>
      <c r="AS107" s="5"/>
      <c r="AT107" s="5" t="s">
        <v>104</v>
      </c>
      <c r="AU107" s="5" t="s">
        <v>102</v>
      </c>
      <c r="AV107" s="5" t="s">
        <v>104</v>
      </c>
      <c r="AW107" s="5" t="s">
        <v>105</v>
      </c>
      <c r="AX107" s="5" t="s">
        <v>106</v>
      </c>
      <c r="AY107" s="5">
        <v>1500</v>
      </c>
      <c r="AZ107" s="5">
        <v>2750</v>
      </c>
      <c r="BA107" s="5">
        <v>1500</v>
      </c>
      <c r="BB107" s="5">
        <v>760</v>
      </c>
      <c r="BC107" s="5">
        <v>0.49299999999999999</v>
      </c>
      <c r="BD107" s="5">
        <v>0.83299999999999996</v>
      </c>
      <c r="BE107" s="5">
        <v>0.85699999999999998</v>
      </c>
      <c r="BF107" s="5">
        <v>3291</v>
      </c>
      <c r="BG107" s="5">
        <v>1.1240000000000001</v>
      </c>
      <c r="BH107" s="5">
        <v>0</v>
      </c>
      <c r="BI107" s="5">
        <v>3</v>
      </c>
      <c r="BJ107" s="5">
        <v>1</v>
      </c>
      <c r="BK107" s="5">
        <v>1</v>
      </c>
      <c r="BL107" s="5" t="s">
        <v>224</v>
      </c>
      <c r="BM107" s="5">
        <v>0</v>
      </c>
      <c r="BN107" s="5">
        <v>3.33</v>
      </c>
      <c r="BO107" s="5">
        <v>1640</v>
      </c>
      <c r="BP107" s="5">
        <v>7000</v>
      </c>
    </row>
    <row r="108" spans="1:68" x14ac:dyDescent="0.3">
      <c r="A108" s="5" t="s">
        <v>350</v>
      </c>
      <c r="B108" s="6">
        <v>46315</v>
      </c>
      <c r="C108" s="5" t="s">
        <v>334</v>
      </c>
      <c r="D108" s="5" t="s">
        <v>124</v>
      </c>
      <c r="E108" s="5" t="s">
        <v>138</v>
      </c>
      <c r="F108" s="5" t="s">
        <v>78</v>
      </c>
      <c r="G108" s="5">
        <v>10</v>
      </c>
      <c r="H108" s="5" t="s">
        <v>191</v>
      </c>
      <c r="I108" s="5" t="s">
        <v>80</v>
      </c>
      <c r="J108" s="5" t="s">
        <v>196</v>
      </c>
      <c r="K108" s="5" t="s">
        <v>127</v>
      </c>
      <c r="L108" s="5">
        <v>2</v>
      </c>
      <c r="M108" s="5" t="s">
        <v>128</v>
      </c>
      <c r="N108" s="5" t="s">
        <v>84</v>
      </c>
      <c r="O108" s="5">
        <v>23</v>
      </c>
      <c r="P108" s="5" t="s">
        <v>113</v>
      </c>
      <c r="Q108" s="5">
        <v>7</v>
      </c>
      <c r="R108" s="5">
        <v>14</v>
      </c>
      <c r="S108" s="5" t="s">
        <v>114</v>
      </c>
      <c r="T108" s="5" t="s">
        <v>114</v>
      </c>
      <c r="U108" s="5" t="s">
        <v>86</v>
      </c>
      <c r="V108" s="5">
        <v>560</v>
      </c>
      <c r="W108" s="5" t="s">
        <v>206</v>
      </c>
      <c r="X108" s="5" t="s">
        <v>142</v>
      </c>
      <c r="Y108" s="5" t="s">
        <v>90</v>
      </c>
      <c r="Z108" s="5" t="s">
        <v>168</v>
      </c>
      <c r="AA108" s="5" t="s">
        <v>92</v>
      </c>
      <c r="AB108" s="5" t="s">
        <v>93</v>
      </c>
      <c r="AC108" s="5" t="s">
        <v>118</v>
      </c>
      <c r="AD108" s="5" t="s">
        <v>95</v>
      </c>
      <c r="AE108" s="5" t="s">
        <v>84</v>
      </c>
      <c r="AF108" s="5" t="s">
        <v>132</v>
      </c>
      <c r="AG108" s="5" t="s">
        <v>96</v>
      </c>
      <c r="AH108" s="5" t="s">
        <v>97</v>
      </c>
      <c r="AI108" s="5" t="s">
        <v>92</v>
      </c>
      <c r="AJ108" s="5" t="s">
        <v>98</v>
      </c>
      <c r="AK108" s="5" t="s">
        <v>211</v>
      </c>
      <c r="AL108" s="5" t="s">
        <v>107</v>
      </c>
      <c r="AM108" s="5">
        <v>0</v>
      </c>
      <c r="AN108" s="5" t="s">
        <v>122</v>
      </c>
      <c r="AO108" s="5" t="s">
        <v>101</v>
      </c>
      <c r="AP108" s="5" t="s">
        <v>101</v>
      </c>
      <c r="AQ108" s="5" t="s">
        <v>101</v>
      </c>
      <c r="AR108" s="5" t="s">
        <v>101</v>
      </c>
      <c r="AS108" s="5"/>
      <c r="AT108" s="5" t="s">
        <v>104</v>
      </c>
      <c r="AU108" s="5" t="s">
        <v>153</v>
      </c>
      <c r="AV108" s="5" t="s">
        <v>104</v>
      </c>
      <c r="AW108" s="5" t="s">
        <v>101</v>
      </c>
      <c r="AX108" s="5" t="s">
        <v>106</v>
      </c>
      <c r="AY108" s="5">
        <v>10000</v>
      </c>
      <c r="AZ108" s="5">
        <v>10000</v>
      </c>
      <c r="BA108" s="5">
        <v>6000</v>
      </c>
      <c r="BB108" s="5">
        <v>9440</v>
      </c>
      <c r="BC108" s="5">
        <v>5.6000000000000001E-2</v>
      </c>
      <c r="BD108" s="5">
        <v>0.4</v>
      </c>
      <c r="BE108" s="5">
        <v>1</v>
      </c>
      <c r="BF108" s="5">
        <v>40875</v>
      </c>
      <c r="BG108" s="5">
        <v>0</v>
      </c>
      <c r="BH108" s="5">
        <v>0</v>
      </c>
      <c r="BI108" s="5">
        <v>2</v>
      </c>
      <c r="BJ108" s="5">
        <v>0</v>
      </c>
      <c r="BK108" s="5">
        <v>0</v>
      </c>
      <c r="BL108" s="5" t="s">
        <v>107</v>
      </c>
      <c r="BM108" s="5">
        <v>0</v>
      </c>
      <c r="BN108" s="5">
        <v>3.67</v>
      </c>
      <c r="BO108" s="5">
        <v>9520</v>
      </c>
      <c r="BP108" s="5">
        <v>41000</v>
      </c>
    </row>
    <row r="109" spans="1:68" x14ac:dyDescent="0.3">
      <c r="A109" s="5" t="s">
        <v>351</v>
      </c>
      <c r="B109" s="6">
        <v>46315</v>
      </c>
      <c r="C109" s="5" t="s">
        <v>334</v>
      </c>
      <c r="D109" s="5" t="s">
        <v>137</v>
      </c>
      <c r="E109" s="5" t="s">
        <v>77</v>
      </c>
      <c r="F109" s="5" t="s">
        <v>78</v>
      </c>
      <c r="G109" s="5">
        <v>9</v>
      </c>
      <c r="H109" s="5" t="s">
        <v>156</v>
      </c>
      <c r="I109" s="5" t="s">
        <v>80</v>
      </c>
      <c r="J109" s="5" t="s">
        <v>81</v>
      </c>
      <c r="K109" s="5" t="s">
        <v>82</v>
      </c>
      <c r="L109" s="5">
        <v>3</v>
      </c>
      <c r="M109" s="5" t="s">
        <v>197</v>
      </c>
      <c r="N109" s="5" t="s">
        <v>169</v>
      </c>
      <c r="O109" s="5">
        <v>9</v>
      </c>
      <c r="P109" s="5" t="s">
        <v>113</v>
      </c>
      <c r="Q109" s="5">
        <v>6</v>
      </c>
      <c r="R109" s="5">
        <v>11</v>
      </c>
      <c r="S109" s="5" t="s">
        <v>86</v>
      </c>
      <c r="T109" s="5" t="s">
        <v>114</v>
      </c>
      <c r="U109" s="5" t="s">
        <v>140</v>
      </c>
      <c r="V109" s="5">
        <v>650</v>
      </c>
      <c r="W109" s="5" t="s">
        <v>352</v>
      </c>
      <c r="X109" s="5" t="s">
        <v>89</v>
      </c>
      <c r="Y109" s="5" t="s">
        <v>90</v>
      </c>
      <c r="Z109" s="5" t="s">
        <v>168</v>
      </c>
      <c r="AA109" s="5" t="s">
        <v>78</v>
      </c>
      <c r="AB109" s="5" t="s">
        <v>175</v>
      </c>
      <c r="AC109" s="5" t="s">
        <v>118</v>
      </c>
      <c r="AD109" s="5" t="s">
        <v>95</v>
      </c>
      <c r="AE109" s="5" t="s">
        <v>84</v>
      </c>
      <c r="AF109" s="5" t="s">
        <v>92</v>
      </c>
      <c r="AG109" s="5" t="s">
        <v>133</v>
      </c>
      <c r="AH109" s="5" t="s">
        <v>97</v>
      </c>
      <c r="AI109" s="5" t="s">
        <v>92</v>
      </c>
      <c r="AJ109" s="5" t="s">
        <v>98</v>
      </c>
      <c r="AK109" s="5" t="s">
        <v>99</v>
      </c>
      <c r="AL109" s="5" t="s">
        <v>107</v>
      </c>
      <c r="AM109" s="5">
        <v>0</v>
      </c>
      <c r="AN109" s="5" t="s">
        <v>122</v>
      </c>
      <c r="AO109" s="5" t="s">
        <v>101</v>
      </c>
      <c r="AP109" s="5" t="s">
        <v>101</v>
      </c>
      <c r="AQ109" s="5" t="s">
        <v>101</v>
      </c>
      <c r="AR109" s="5" t="s">
        <v>101</v>
      </c>
      <c r="AS109" s="5"/>
      <c r="AT109" s="5" t="s">
        <v>103</v>
      </c>
      <c r="AU109" s="5" t="s">
        <v>104</v>
      </c>
      <c r="AV109" s="5" t="s">
        <v>103</v>
      </c>
      <c r="AW109" s="5" t="s">
        <v>101</v>
      </c>
      <c r="AX109" s="5" t="s">
        <v>106</v>
      </c>
      <c r="AY109" s="5">
        <v>6000</v>
      </c>
      <c r="AZ109" s="5">
        <v>10000</v>
      </c>
      <c r="BA109" s="5">
        <v>4250</v>
      </c>
      <c r="BB109" s="5">
        <v>5350</v>
      </c>
      <c r="BC109" s="5">
        <v>0.108</v>
      </c>
      <c r="BD109" s="5">
        <v>0.95799999999999996</v>
      </c>
      <c r="BE109" s="5">
        <v>0.85699999999999998</v>
      </c>
      <c r="BF109" s="5">
        <v>23166</v>
      </c>
      <c r="BG109" s="5">
        <v>0</v>
      </c>
      <c r="BH109" s="5">
        <v>0.5</v>
      </c>
      <c r="BI109" s="5">
        <v>3</v>
      </c>
      <c r="BJ109" s="5">
        <v>0</v>
      </c>
      <c r="BK109" s="5">
        <v>0</v>
      </c>
      <c r="BL109" s="5" t="s">
        <v>107</v>
      </c>
      <c r="BM109" s="5">
        <v>0</v>
      </c>
      <c r="BN109" s="5">
        <v>4.67</v>
      </c>
      <c r="BO109" s="5">
        <v>6800</v>
      </c>
      <c r="BP109" s="5">
        <v>29300</v>
      </c>
    </row>
    <row r="110" spans="1:68" x14ac:dyDescent="0.3">
      <c r="A110" s="5" t="s">
        <v>353</v>
      </c>
      <c r="B110" s="6">
        <v>46316</v>
      </c>
      <c r="C110" s="5" t="s">
        <v>354</v>
      </c>
      <c r="D110" s="5" t="s">
        <v>76</v>
      </c>
      <c r="E110" s="5" t="s">
        <v>138</v>
      </c>
      <c r="F110" s="5" t="s">
        <v>78</v>
      </c>
      <c r="G110" s="5">
        <v>11</v>
      </c>
      <c r="H110" s="5" t="s">
        <v>79</v>
      </c>
      <c r="I110" s="5" t="s">
        <v>80</v>
      </c>
      <c r="J110" s="5" t="s">
        <v>81</v>
      </c>
      <c r="K110" s="5" t="s">
        <v>82</v>
      </c>
      <c r="L110" s="5">
        <v>0</v>
      </c>
      <c r="M110" s="5" t="s">
        <v>167</v>
      </c>
      <c r="N110" s="5" t="s">
        <v>84</v>
      </c>
      <c r="O110" s="5">
        <v>41</v>
      </c>
      <c r="P110" s="5" t="s">
        <v>149</v>
      </c>
      <c r="Q110" s="5">
        <v>7</v>
      </c>
      <c r="R110" s="5">
        <v>11</v>
      </c>
      <c r="S110" s="5" t="s">
        <v>87</v>
      </c>
      <c r="T110" s="5" t="s">
        <v>114</v>
      </c>
      <c r="U110" s="5" t="s">
        <v>86</v>
      </c>
      <c r="V110" s="5">
        <v>2980</v>
      </c>
      <c r="W110" s="5" t="s">
        <v>141</v>
      </c>
      <c r="X110" s="5" t="s">
        <v>116</v>
      </c>
      <c r="Y110" s="5" t="s">
        <v>151</v>
      </c>
      <c r="Z110" s="5" t="s">
        <v>91</v>
      </c>
      <c r="AA110" s="5" t="s">
        <v>92</v>
      </c>
      <c r="AB110" s="5" t="s">
        <v>93</v>
      </c>
      <c r="AC110" s="5" t="s">
        <v>118</v>
      </c>
      <c r="AD110" s="5" t="s">
        <v>95</v>
      </c>
      <c r="AE110" s="5" t="s">
        <v>84</v>
      </c>
      <c r="AF110" s="5" t="s">
        <v>92</v>
      </c>
      <c r="AG110" s="5" t="s">
        <v>181</v>
      </c>
      <c r="AH110" s="5" t="s">
        <v>152</v>
      </c>
      <c r="AI110" s="5" t="s">
        <v>92</v>
      </c>
      <c r="AJ110" s="5" t="s">
        <v>98</v>
      </c>
      <c r="AK110" s="5" t="s">
        <v>211</v>
      </c>
      <c r="AL110" s="5" t="s">
        <v>107</v>
      </c>
      <c r="AM110" s="5">
        <v>0</v>
      </c>
      <c r="AN110" s="5" t="s">
        <v>122</v>
      </c>
      <c r="AO110" s="5" t="s">
        <v>101</v>
      </c>
      <c r="AP110" s="5" t="s">
        <v>101</v>
      </c>
      <c r="AQ110" s="5" t="s">
        <v>101</v>
      </c>
      <c r="AR110" s="5" t="s">
        <v>101</v>
      </c>
      <c r="AS110" s="5"/>
      <c r="AT110" s="5" t="s">
        <v>103</v>
      </c>
      <c r="AU110" s="5" t="s">
        <v>103</v>
      </c>
      <c r="AV110" s="5" t="s">
        <v>102</v>
      </c>
      <c r="AW110" s="5" t="s">
        <v>160</v>
      </c>
      <c r="AX110" s="5" t="s">
        <v>106</v>
      </c>
      <c r="AY110" s="5">
        <v>8000</v>
      </c>
      <c r="AZ110" s="5">
        <v>10000</v>
      </c>
      <c r="BA110" s="5">
        <v>6000</v>
      </c>
      <c r="BB110" s="5">
        <v>5020</v>
      </c>
      <c r="BC110" s="5">
        <v>0.372</v>
      </c>
      <c r="BD110" s="5">
        <v>0.5</v>
      </c>
      <c r="BE110" s="5">
        <v>1</v>
      </c>
      <c r="BF110" s="5">
        <v>21737</v>
      </c>
      <c r="BG110" s="5">
        <v>0</v>
      </c>
      <c r="BH110" s="5">
        <v>0</v>
      </c>
      <c r="BI110" s="5">
        <v>2</v>
      </c>
      <c r="BJ110" s="5">
        <v>0</v>
      </c>
      <c r="BK110" s="5">
        <v>0</v>
      </c>
      <c r="BL110" s="5" t="s">
        <v>107</v>
      </c>
      <c r="BM110" s="5">
        <v>1</v>
      </c>
      <c r="BN110" s="5">
        <v>4</v>
      </c>
      <c r="BO110" s="5">
        <v>8530</v>
      </c>
      <c r="BP110" s="5">
        <v>36700</v>
      </c>
    </row>
    <row r="111" spans="1:68" x14ac:dyDescent="0.3">
      <c r="A111" s="5" t="s">
        <v>355</v>
      </c>
      <c r="B111" s="6">
        <v>46316</v>
      </c>
      <c r="C111" s="5" t="s">
        <v>354</v>
      </c>
      <c r="D111" s="5" t="s">
        <v>155</v>
      </c>
      <c r="E111" s="5" t="s">
        <v>77</v>
      </c>
      <c r="F111" s="5" t="s">
        <v>78</v>
      </c>
      <c r="G111" s="5">
        <v>8</v>
      </c>
      <c r="H111" s="5" t="s">
        <v>79</v>
      </c>
      <c r="I111" s="5" t="s">
        <v>80</v>
      </c>
      <c r="J111" s="5" t="s">
        <v>126</v>
      </c>
      <c r="K111" s="5" t="s">
        <v>127</v>
      </c>
      <c r="L111" s="5">
        <v>0</v>
      </c>
      <c r="M111" s="5" t="s">
        <v>128</v>
      </c>
      <c r="N111" s="5" t="s">
        <v>84</v>
      </c>
      <c r="O111" s="5">
        <v>18</v>
      </c>
      <c r="P111" s="5" t="s">
        <v>85</v>
      </c>
      <c r="Q111" s="5">
        <v>7</v>
      </c>
      <c r="R111" s="5">
        <v>2</v>
      </c>
      <c r="S111" s="5" t="s">
        <v>129</v>
      </c>
      <c r="T111" s="5" t="s">
        <v>88</v>
      </c>
      <c r="U111" s="5" t="s">
        <v>129</v>
      </c>
      <c r="V111" s="5">
        <v>520</v>
      </c>
      <c r="W111" s="5" t="s">
        <v>273</v>
      </c>
      <c r="X111" s="5" t="s">
        <v>116</v>
      </c>
      <c r="Y111" s="5" t="s">
        <v>90</v>
      </c>
      <c r="Z111" s="5" t="s">
        <v>168</v>
      </c>
      <c r="AA111" s="5" t="s">
        <v>92</v>
      </c>
      <c r="AB111" s="5" t="s">
        <v>93</v>
      </c>
      <c r="AC111" s="5" t="s">
        <v>215</v>
      </c>
      <c r="AD111" s="5" t="s">
        <v>95</v>
      </c>
      <c r="AE111" s="5" t="s">
        <v>84</v>
      </c>
      <c r="AF111" s="5" t="s">
        <v>132</v>
      </c>
      <c r="AG111" s="5" t="s">
        <v>96</v>
      </c>
      <c r="AH111" s="5" t="s">
        <v>97</v>
      </c>
      <c r="AI111" s="5" t="s">
        <v>92</v>
      </c>
      <c r="AJ111" s="5" t="s">
        <v>98</v>
      </c>
      <c r="AK111" s="5" t="s">
        <v>99</v>
      </c>
      <c r="AL111" s="5" t="s">
        <v>100</v>
      </c>
      <c r="AM111" s="5">
        <v>3600</v>
      </c>
      <c r="AN111" s="5" t="s">
        <v>92</v>
      </c>
      <c r="AO111" s="5" t="s">
        <v>101</v>
      </c>
      <c r="AP111" s="5" t="s">
        <v>101</v>
      </c>
      <c r="AQ111" s="5" t="s">
        <v>101</v>
      </c>
      <c r="AR111" s="5" t="s">
        <v>101</v>
      </c>
      <c r="AS111" s="5"/>
      <c r="AT111" s="5" t="s">
        <v>102</v>
      </c>
      <c r="AU111" s="5" t="s">
        <v>102</v>
      </c>
      <c r="AV111" s="5" t="s">
        <v>220</v>
      </c>
      <c r="AW111" s="5" t="s">
        <v>135</v>
      </c>
      <c r="AX111" s="5" t="s">
        <v>106</v>
      </c>
      <c r="AY111" s="5">
        <v>1500</v>
      </c>
      <c r="AZ111" s="5">
        <v>2750</v>
      </c>
      <c r="BA111" s="5">
        <v>1500</v>
      </c>
      <c r="BB111" s="5">
        <v>980</v>
      </c>
      <c r="BC111" s="5">
        <v>0.34699999999999998</v>
      </c>
      <c r="BD111" s="5">
        <v>0.83299999999999996</v>
      </c>
      <c r="BE111" s="5">
        <v>1</v>
      </c>
      <c r="BF111" s="5">
        <v>4243</v>
      </c>
      <c r="BG111" s="5">
        <v>0.84799999999999998</v>
      </c>
      <c r="BH111" s="5">
        <v>0</v>
      </c>
      <c r="BI111" s="5">
        <v>1</v>
      </c>
      <c r="BJ111" s="5">
        <v>1</v>
      </c>
      <c r="BK111" s="5">
        <v>0</v>
      </c>
      <c r="BL111" s="5" t="s">
        <v>107</v>
      </c>
      <c r="BM111" s="5">
        <v>0</v>
      </c>
      <c r="BN111" s="5">
        <v>1.67</v>
      </c>
      <c r="BO111" s="5">
        <v>1690</v>
      </c>
      <c r="BP111" s="5">
        <v>7300</v>
      </c>
    </row>
    <row r="112" spans="1:68" x14ac:dyDescent="0.3">
      <c r="A112" s="5" t="s">
        <v>356</v>
      </c>
      <c r="B112" s="6">
        <v>46316</v>
      </c>
      <c r="C112" s="5" t="s">
        <v>354</v>
      </c>
      <c r="D112" s="5" t="s">
        <v>109</v>
      </c>
      <c r="E112" s="5" t="s">
        <v>77</v>
      </c>
      <c r="F112" s="5" t="s">
        <v>78</v>
      </c>
      <c r="G112" s="5">
        <v>9</v>
      </c>
      <c r="H112" s="5" t="s">
        <v>110</v>
      </c>
      <c r="I112" s="5" t="s">
        <v>80</v>
      </c>
      <c r="J112" s="5" t="s">
        <v>163</v>
      </c>
      <c r="K112" s="5" t="s">
        <v>82</v>
      </c>
      <c r="L112" s="5">
        <v>3</v>
      </c>
      <c r="M112" s="5" t="s">
        <v>173</v>
      </c>
      <c r="N112" s="5" t="s">
        <v>84</v>
      </c>
      <c r="O112" s="5">
        <v>5</v>
      </c>
      <c r="P112" s="5" t="s">
        <v>198</v>
      </c>
      <c r="Q112" s="5">
        <v>6</v>
      </c>
      <c r="R112" s="5">
        <v>6</v>
      </c>
      <c r="S112" s="5" t="s">
        <v>88</v>
      </c>
      <c r="T112" s="5" t="s">
        <v>88</v>
      </c>
      <c r="U112" s="5" t="s">
        <v>129</v>
      </c>
      <c r="V112" s="5">
        <v>140</v>
      </c>
      <c r="W112" s="5"/>
      <c r="X112" s="5" t="s">
        <v>116</v>
      </c>
      <c r="Y112" s="5" t="s">
        <v>90</v>
      </c>
      <c r="Z112" s="5" t="s">
        <v>91</v>
      </c>
      <c r="AA112" s="5" t="s">
        <v>92</v>
      </c>
      <c r="AB112" s="5" t="s">
        <v>93</v>
      </c>
      <c r="AC112" s="5" t="s">
        <v>94</v>
      </c>
      <c r="AD112" s="5" t="s">
        <v>95</v>
      </c>
      <c r="AE112" s="5" t="s">
        <v>169</v>
      </c>
      <c r="AF112" s="5" t="s">
        <v>92</v>
      </c>
      <c r="AG112" s="5" t="s">
        <v>181</v>
      </c>
      <c r="AH112" s="5" t="s">
        <v>152</v>
      </c>
      <c r="AI112" s="5" t="s">
        <v>78</v>
      </c>
      <c r="AJ112" s="5" t="s">
        <v>159</v>
      </c>
      <c r="AK112" s="5" t="s">
        <v>101</v>
      </c>
      <c r="AL112" s="5" t="s">
        <v>357</v>
      </c>
      <c r="AM112" s="5">
        <v>2400</v>
      </c>
      <c r="AN112" s="5" t="s">
        <v>78</v>
      </c>
      <c r="AO112" s="5" t="s">
        <v>275</v>
      </c>
      <c r="AP112" s="5" t="s">
        <v>184</v>
      </c>
      <c r="AQ112" s="5" t="s">
        <v>78</v>
      </c>
      <c r="AR112" s="5" t="s">
        <v>257</v>
      </c>
      <c r="AS112" s="5">
        <v>3</v>
      </c>
      <c r="AT112" s="5" t="s">
        <v>153</v>
      </c>
      <c r="AU112" s="5" t="s">
        <v>104</v>
      </c>
      <c r="AV112" s="5" t="s">
        <v>220</v>
      </c>
      <c r="AW112" s="5" t="s">
        <v>160</v>
      </c>
      <c r="AX112" s="5" t="s">
        <v>106</v>
      </c>
      <c r="AY112" s="5">
        <v>2750</v>
      </c>
      <c r="AZ112" s="5">
        <v>2750</v>
      </c>
      <c r="BA112" s="5">
        <v>1500</v>
      </c>
      <c r="BB112" s="5">
        <v>2610</v>
      </c>
      <c r="BC112" s="5">
        <v>5.0999999999999997E-2</v>
      </c>
      <c r="BD112" s="5">
        <v>0.45500000000000002</v>
      </c>
      <c r="BE112" s="5">
        <v>0.85699999999999998</v>
      </c>
      <c r="BF112" s="5">
        <v>11301</v>
      </c>
      <c r="BG112" s="5">
        <v>0.21199999999999999</v>
      </c>
      <c r="BH112" s="5">
        <v>0</v>
      </c>
      <c r="BI112" s="5">
        <v>0</v>
      </c>
      <c r="BJ112" s="5">
        <v>2</v>
      </c>
      <c r="BK112" s="5">
        <v>1</v>
      </c>
      <c r="BL112" s="5" t="s">
        <v>276</v>
      </c>
      <c r="BM112" s="5">
        <v>1</v>
      </c>
      <c r="BN112" s="5">
        <v>2.67</v>
      </c>
      <c r="BO112" s="5">
        <v>2090</v>
      </c>
      <c r="BP112" s="5">
        <v>9000</v>
      </c>
    </row>
    <row r="113" spans="1:68" x14ac:dyDescent="0.3">
      <c r="A113" s="5" t="s">
        <v>358</v>
      </c>
      <c r="B113" s="6">
        <v>46316</v>
      </c>
      <c r="C113" s="5" t="s">
        <v>354</v>
      </c>
      <c r="D113" s="5" t="s">
        <v>124</v>
      </c>
      <c r="E113" s="5" t="s">
        <v>187</v>
      </c>
      <c r="F113" s="5" t="s">
        <v>78</v>
      </c>
      <c r="G113" s="5">
        <v>9</v>
      </c>
      <c r="H113" s="5" t="s">
        <v>110</v>
      </c>
      <c r="I113" s="5" t="s">
        <v>80</v>
      </c>
      <c r="J113" s="5" t="s">
        <v>178</v>
      </c>
      <c r="K113" s="5" t="s">
        <v>82</v>
      </c>
      <c r="L113" s="5">
        <v>3</v>
      </c>
      <c r="M113" s="5" t="s">
        <v>128</v>
      </c>
      <c r="N113" s="5" t="s">
        <v>169</v>
      </c>
      <c r="O113" s="5">
        <v>79</v>
      </c>
      <c r="P113" s="5" t="s">
        <v>85</v>
      </c>
      <c r="Q113" s="5">
        <v>6</v>
      </c>
      <c r="R113" s="5">
        <v>9</v>
      </c>
      <c r="S113" s="5" t="s">
        <v>88</v>
      </c>
      <c r="T113" s="5" t="s">
        <v>140</v>
      </c>
      <c r="U113" s="5" t="s">
        <v>129</v>
      </c>
      <c r="V113" s="5">
        <v>1520</v>
      </c>
      <c r="W113" s="5"/>
      <c r="X113" s="5" t="s">
        <v>116</v>
      </c>
      <c r="Y113" s="5" t="s">
        <v>117</v>
      </c>
      <c r="Z113" s="5" t="s">
        <v>91</v>
      </c>
      <c r="AA113" s="5" t="s">
        <v>92</v>
      </c>
      <c r="AB113" s="5" t="s">
        <v>93</v>
      </c>
      <c r="AC113" s="5" t="s">
        <v>118</v>
      </c>
      <c r="AD113" s="5" t="s">
        <v>95</v>
      </c>
      <c r="AE113" s="5" t="s">
        <v>169</v>
      </c>
      <c r="AF113" s="5" t="s">
        <v>132</v>
      </c>
      <c r="AG113" s="5" t="s">
        <v>96</v>
      </c>
      <c r="AH113" s="5" t="s">
        <v>97</v>
      </c>
      <c r="AI113" s="5" t="s">
        <v>92</v>
      </c>
      <c r="AJ113" s="5" t="s">
        <v>98</v>
      </c>
      <c r="AK113" s="5" t="s">
        <v>99</v>
      </c>
      <c r="AL113" s="5" t="s">
        <v>199</v>
      </c>
      <c r="AM113" s="5">
        <v>4000</v>
      </c>
      <c r="AN113" s="5" t="s">
        <v>92</v>
      </c>
      <c r="AO113" s="5" t="s">
        <v>101</v>
      </c>
      <c r="AP113" s="5" t="s">
        <v>101</v>
      </c>
      <c r="AQ113" s="5" t="s">
        <v>101</v>
      </c>
      <c r="AR113" s="5" t="s">
        <v>101</v>
      </c>
      <c r="AS113" s="5"/>
      <c r="AT113" s="5" t="s">
        <v>104</v>
      </c>
      <c r="AU113" s="5" t="s">
        <v>153</v>
      </c>
      <c r="AV113" s="5" t="s">
        <v>104</v>
      </c>
      <c r="AW113" s="5" t="s">
        <v>101</v>
      </c>
      <c r="AX113" s="5" t="s">
        <v>106</v>
      </c>
      <c r="AY113" s="5">
        <v>2750</v>
      </c>
      <c r="AZ113" s="5">
        <v>4250</v>
      </c>
      <c r="BA113" s="5">
        <v>1500</v>
      </c>
      <c r="BB113" s="5">
        <v>1230</v>
      </c>
      <c r="BC113" s="5">
        <v>0.55300000000000005</v>
      </c>
      <c r="BD113" s="5">
        <v>1</v>
      </c>
      <c r="BE113" s="5">
        <v>0.85699999999999998</v>
      </c>
      <c r="BF113" s="5">
        <v>5326</v>
      </c>
      <c r="BG113" s="5">
        <v>0.751</v>
      </c>
      <c r="BH113" s="5">
        <v>0</v>
      </c>
      <c r="BI113" s="5">
        <v>0</v>
      </c>
      <c r="BJ113" s="5">
        <v>1</v>
      </c>
      <c r="BK113" s="5">
        <v>0</v>
      </c>
      <c r="BL113" s="5" t="s">
        <v>107</v>
      </c>
      <c r="BM113" s="5">
        <v>0</v>
      </c>
      <c r="BN113" s="5">
        <v>3.67</v>
      </c>
      <c r="BO113" s="5">
        <v>3380</v>
      </c>
      <c r="BP113" s="5">
        <v>14500</v>
      </c>
    </row>
    <row r="114" spans="1:68" x14ac:dyDescent="0.3">
      <c r="A114" s="5" t="s">
        <v>359</v>
      </c>
      <c r="B114" s="6">
        <v>46316</v>
      </c>
      <c r="C114" s="5" t="s">
        <v>354</v>
      </c>
      <c r="D114" s="5" t="s">
        <v>162</v>
      </c>
      <c r="E114" s="5" t="s">
        <v>187</v>
      </c>
      <c r="F114" s="5" t="s">
        <v>78</v>
      </c>
      <c r="G114" s="5">
        <v>8</v>
      </c>
      <c r="H114" s="5" t="s">
        <v>79</v>
      </c>
      <c r="I114" s="5" t="s">
        <v>80</v>
      </c>
      <c r="J114" s="5" t="s">
        <v>81</v>
      </c>
      <c r="K114" s="5" t="s">
        <v>111</v>
      </c>
      <c r="L114" s="5">
        <v>5</v>
      </c>
      <c r="M114" s="5" t="s">
        <v>179</v>
      </c>
      <c r="N114" s="5" t="s">
        <v>84</v>
      </c>
      <c r="O114" s="5">
        <v>46</v>
      </c>
      <c r="P114" s="5" t="s">
        <v>113</v>
      </c>
      <c r="Q114" s="5">
        <v>6</v>
      </c>
      <c r="R114" s="5">
        <v>10</v>
      </c>
      <c r="S114" s="5" t="s">
        <v>86</v>
      </c>
      <c r="T114" s="5" t="s">
        <v>87</v>
      </c>
      <c r="U114" s="5" t="s">
        <v>140</v>
      </c>
      <c r="V114" s="5">
        <v>1520</v>
      </c>
      <c r="W114" s="5" t="s">
        <v>201</v>
      </c>
      <c r="X114" s="5" t="s">
        <v>89</v>
      </c>
      <c r="Y114" s="5" t="s">
        <v>298</v>
      </c>
      <c r="Z114" s="5" t="s">
        <v>91</v>
      </c>
      <c r="AA114" s="5" t="s">
        <v>92</v>
      </c>
      <c r="AB114" s="5" t="s">
        <v>93</v>
      </c>
      <c r="AC114" s="5" t="s">
        <v>94</v>
      </c>
      <c r="AD114" s="5" t="s">
        <v>95</v>
      </c>
      <c r="AE114" s="5" t="s">
        <v>84</v>
      </c>
      <c r="AF114" s="5" t="s">
        <v>92</v>
      </c>
      <c r="AG114" s="5" t="s">
        <v>181</v>
      </c>
      <c r="AH114" s="5" t="s">
        <v>120</v>
      </c>
      <c r="AI114" s="5" t="s">
        <v>78</v>
      </c>
      <c r="AJ114" s="5" t="s">
        <v>216</v>
      </c>
      <c r="AK114" s="5" t="s">
        <v>121</v>
      </c>
      <c r="AL114" s="5" t="s">
        <v>107</v>
      </c>
      <c r="AM114" s="5">
        <v>0</v>
      </c>
      <c r="AN114" s="5" t="s">
        <v>122</v>
      </c>
      <c r="AO114" s="5" t="s">
        <v>101</v>
      </c>
      <c r="AP114" s="5" t="s">
        <v>101</v>
      </c>
      <c r="AQ114" s="5" t="s">
        <v>101</v>
      </c>
      <c r="AR114" s="5" t="s">
        <v>101</v>
      </c>
      <c r="AS114" s="5"/>
      <c r="AT114" s="5" t="s">
        <v>104</v>
      </c>
      <c r="AU114" s="5" t="s">
        <v>104</v>
      </c>
      <c r="AV114" s="5" t="s">
        <v>104</v>
      </c>
      <c r="AW114" s="5" t="s">
        <v>101</v>
      </c>
      <c r="AX114" s="5" t="s">
        <v>106</v>
      </c>
      <c r="AY114" s="5">
        <v>6000</v>
      </c>
      <c r="AZ114" s="5">
        <v>8000</v>
      </c>
      <c r="BA114" s="5">
        <v>4250</v>
      </c>
      <c r="BB114" s="5">
        <v>4480</v>
      </c>
      <c r="BC114" s="5">
        <v>0.253</v>
      </c>
      <c r="BD114" s="5">
        <v>0.625</v>
      </c>
      <c r="BE114" s="5">
        <v>0.85699999999999998</v>
      </c>
      <c r="BF114" s="5">
        <v>19398</v>
      </c>
      <c r="BG114" s="5">
        <v>0</v>
      </c>
      <c r="BH114" s="5">
        <v>0</v>
      </c>
      <c r="BI114" s="5">
        <v>1</v>
      </c>
      <c r="BJ114" s="5">
        <v>0</v>
      </c>
      <c r="BK114" s="5">
        <v>0</v>
      </c>
      <c r="BL114" s="5" t="s">
        <v>107</v>
      </c>
      <c r="BM114" s="5">
        <v>1</v>
      </c>
      <c r="BN114" s="5">
        <v>4</v>
      </c>
      <c r="BO114" s="5">
        <v>5810</v>
      </c>
      <c r="BP114" s="5">
        <v>25000</v>
      </c>
    </row>
    <row r="115" spans="1:68" x14ac:dyDescent="0.3">
      <c r="A115" s="5" t="s">
        <v>360</v>
      </c>
      <c r="B115" s="6">
        <v>46316</v>
      </c>
      <c r="C115" s="5" t="s">
        <v>354</v>
      </c>
      <c r="D115" s="5" t="s">
        <v>218</v>
      </c>
      <c r="E115" s="5" t="s">
        <v>138</v>
      </c>
      <c r="F115" s="5" t="s">
        <v>78</v>
      </c>
      <c r="G115" s="5">
        <v>11</v>
      </c>
      <c r="H115" s="5" t="s">
        <v>79</v>
      </c>
      <c r="I115" s="5" t="s">
        <v>80</v>
      </c>
      <c r="J115" s="5" t="s">
        <v>178</v>
      </c>
      <c r="K115" s="5" t="s">
        <v>127</v>
      </c>
      <c r="L115" s="5">
        <v>1</v>
      </c>
      <c r="M115" s="5" t="s">
        <v>173</v>
      </c>
      <c r="N115" s="5" t="s">
        <v>84</v>
      </c>
      <c r="O115" s="5">
        <v>13</v>
      </c>
      <c r="P115" s="5" t="s">
        <v>85</v>
      </c>
      <c r="Q115" s="5">
        <v>6</v>
      </c>
      <c r="R115" s="5">
        <v>12</v>
      </c>
      <c r="S115" s="5" t="s">
        <v>87</v>
      </c>
      <c r="T115" s="5" t="s">
        <v>114</v>
      </c>
      <c r="U115" s="5" t="s">
        <v>140</v>
      </c>
      <c r="V115" s="5">
        <v>1830</v>
      </c>
      <c r="W115" s="5" t="s">
        <v>252</v>
      </c>
      <c r="X115" s="5" t="s">
        <v>89</v>
      </c>
      <c r="Y115" s="5" t="s">
        <v>90</v>
      </c>
      <c r="Z115" s="5" t="s">
        <v>91</v>
      </c>
      <c r="AA115" s="5" t="s">
        <v>92</v>
      </c>
      <c r="AB115" s="5" t="s">
        <v>93</v>
      </c>
      <c r="AC115" s="5" t="s">
        <v>94</v>
      </c>
      <c r="AD115" s="5" t="s">
        <v>95</v>
      </c>
      <c r="AE115" s="5" t="s">
        <v>169</v>
      </c>
      <c r="AF115" s="5" t="s">
        <v>132</v>
      </c>
      <c r="AG115" s="5" t="s">
        <v>181</v>
      </c>
      <c r="AH115" s="5" t="s">
        <v>97</v>
      </c>
      <c r="AI115" s="5" t="s">
        <v>78</v>
      </c>
      <c r="AJ115" s="5" t="s">
        <v>159</v>
      </c>
      <c r="AK115" s="5" t="s">
        <v>101</v>
      </c>
      <c r="AL115" s="5" t="s">
        <v>302</v>
      </c>
      <c r="AM115" s="5">
        <v>4900</v>
      </c>
      <c r="AN115" s="5" t="s">
        <v>92</v>
      </c>
      <c r="AO115" s="5" t="s">
        <v>101</v>
      </c>
      <c r="AP115" s="5" t="s">
        <v>101</v>
      </c>
      <c r="AQ115" s="5" t="s">
        <v>101</v>
      </c>
      <c r="AR115" s="5" t="s">
        <v>101</v>
      </c>
      <c r="AS115" s="5"/>
      <c r="AT115" s="5" t="s">
        <v>103</v>
      </c>
      <c r="AU115" s="5" t="s">
        <v>102</v>
      </c>
      <c r="AV115" s="5" t="s">
        <v>104</v>
      </c>
      <c r="AW115" s="5" t="s">
        <v>160</v>
      </c>
      <c r="AX115" s="5" t="s">
        <v>106</v>
      </c>
      <c r="AY115" s="5">
        <v>8000</v>
      </c>
      <c r="AZ115" s="5">
        <v>10000</v>
      </c>
      <c r="BA115" s="5">
        <v>4250</v>
      </c>
      <c r="BB115" s="5">
        <v>6170</v>
      </c>
      <c r="BC115" s="5">
        <v>0.22900000000000001</v>
      </c>
      <c r="BD115" s="5">
        <v>0.71899999999999997</v>
      </c>
      <c r="BE115" s="5">
        <v>0.85699999999999998</v>
      </c>
      <c r="BF115" s="5">
        <v>26716</v>
      </c>
      <c r="BG115" s="5">
        <v>0.183</v>
      </c>
      <c r="BH115" s="5">
        <v>0</v>
      </c>
      <c r="BI115" s="5">
        <v>3</v>
      </c>
      <c r="BJ115" s="5">
        <v>2</v>
      </c>
      <c r="BK115" s="5">
        <v>0</v>
      </c>
      <c r="BL115" s="5" t="s">
        <v>107</v>
      </c>
      <c r="BM115" s="5">
        <v>0</v>
      </c>
      <c r="BN115" s="5">
        <v>3.67</v>
      </c>
      <c r="BO115" s="5">
        <v>7040</v>
      </c>
      <c r="BP115" s="5">
        <v>30300</v>
      </c>
    </row>
    <row r="116" spans="1:68" x14ac:dyDescent="0.3">
      <c r="A116" s="5" t="s">
        <v>361</v>
      </c>
      <c r="B116" s="6">
        <v>46316</v>
      </c>
      <c r="C116" s="5" t="s">
        <v>354</v>
      </c>
      <c r="D116" s="5" t="s">
        <v>124</v>
      </c>
      <c r="E116" s="5" t="s">
        <v>77</v>
      </c>
      <c r="F116" s="5" t="s">
        <v>78</v>
      </c>
      <c r="G116" s="5">
        <v>8</v>
      </c>
      <c r="H116" s="5" t="s">
        <v>156</v>
      </c>
      <c r="I116" s="5" t="s">
        <v>80</v>
      </c>
      <c r="J116" s="5" t="s">
        <v>196</v>
      </c>
      <c r="K116" s="5" t="s">
        <v>82</v>
      </c>
      <c r="L116" s="5">
        <v>2</v>
      </c>
      <c r="M116" s="5" t="s">
        <v>128</v>
      </c>
      <c r="N116" s="5" t="s">
        <v>84</v>
      </c>
      <c r="O116" s="5">
        <v>24</v>
      </c>
      <c r="P116" s="5" t="s">
        <v>113</v>
      </c>
      <c r="Q116" s="5">
        <v>7</v>
      </c>
      <c r="R116" s="5">
        <v>4</v>
      </c>
      <c r="S116" s="5" t="s">
        <v>88</v>
      </c>
      <c r="T116" s="5" t="s">
        <v>140</v>
      </c>
      <c r="U116" s="5" t="s">
        <v>129</v>
      </c>
      <c r="V116" s="5">
        <v>260</v>
      </c>
      <c r="W116" s="5" t="s">
        <v>273</v>
      </c>
      <c r="X116" s="5" t="s">
        <v>116</v>
      </c>
      <c r="Y116" s="5" t="s">
        <v>90</v>
      </c>
      <c r="Z116" s="5" t="s">
        <v>168</v>
      </c>
      <c r="AA116" s="5" t="s">
        <v>92</v>
      </c>
      <c r="AB116" s="5" t="s">
        <v>93</v>
      </c>
      <c r="AC116" s="5" t="s">
        <v>94</v>
      </c>
      <c r="AD116" s="5" t="s">
        <v>130</v>
      </c>
      <c r="AE116" s="5" t="s">
        <v>169</v>
      </c>
      <c r="AF116" s="5" t="s">
        <v>92</v>
      </c>
      <c r="AG116" s="5" t="s">
        <v>96</v>
      </c>
      <c r="AH116" s="5" t="s">
        <v>97</v>
      </c>
      <c r="AI116" s="5" t="s">
        <v>78</v>
      </c>
      <c r="AJ116" s="5" t="s">
        <v>159</v>
      </c>
      <c r="AK116" s="5" t="s">
        <v>101</v>
      </c>
      <c r="AL116" s="5" t="s">
        <v>199</v>
      </c>
      <c r="AM116" s="5">
        <v>3900</v>
      </c>
      <c r="AN116" s="5" t="s">
        <v>78</v>
      </c>
      <c r="AO116" s="5" t="s">
        <v>244</v>
      </c>
      <c r="AP116" s="5" t="s">
        <v>256</v>
      </c>
      <c r="AQ116" s="5" t="s">
        <v>92</v>
      </c>
      <c r="AR116" s="5" t="s">
        <v>78</v>
      </c>
      <c r="AS116" s="5"/>
      <c r="AT116" s="5" t="s">
        <v>103</v>
      </c>
      <c r="AU116" s="5" t="s">
        <v>102</v>
      </c>
      <c r="AV116" s="5" t="s">
        <v>220</v>
      </c>
      <c r="AW116" s="5" t="s">
        <v>160</v>
      </c>
      <c r="AX116" s="5" t="s">
        <v>106</v>
      </c>
      <c r="AY116" s="5">
        <v>2750</v>
      </c>
      <c r="AZ116" s="5">
        <v>4250</v>
      </c>
      <c r="BA116" s="5">
        <v>1500</v>
      </c>
      <c r="BB116" s="5">
        <v>2490</v>
      </c>
      <c r="BC116" s="5">
        <v>9.5000000000000001E-2</v>
      </c>
      <c r="BD116" s="5">
        <v>1</v>
      </c>
      <c r="BE116" s="5">
        <v>1</v>
      </c>
      <c r="BF116" s="5">
        <v>10782</v>
      </c>
      <c r="BG116" s="5">
        <v>0.36199999999999999</v>
      </c>
      <c r="BH116" s="5">
        <v>0</v>
      </c>
      <c r="BI116" s="5">
        <v>1</v>
      </c>
      <c r="BJ116" s="5">
        <v>1</v>
      </c>
      <c r="BK116" s="5">
        <v>1</v>
      </c>
      <c r="BL116" s="5" t="s">
        <v>224</v>
      </c>
      <c r="BM116" s="5">
        <v>0</v>
      </c>
      <c r="BN116" s="5">
        <v>2.67</v>
      </c>
      <c r="BO116" s="5">
        <v>2890</v>
      </c>
      <c r="BP116" s="5">
        <v>12400</v>
      </c>
    </row>
    <row r="117" spans="1:68" x14ac:dyDescent="0.3">
      <c r="A117" s="5" t="s">
        <v>362</v>
      </c>
      <c r="B117" s="6">
        <v>46316</v>
      </c>
      <c r="C117" s="5" t="s">
        <v>354</v>
      </c>
      <c r="D117" s="5" t="s">
        <v>109</v>
      </c>
      <c r="E117" s="5" t="s">
        <v>138</v>
      </c>
      <c r="F117" s="5" t="s">
        <v>78</v>
      </c>
      <c r="G117" s="5">
        <v>10</v>
      </c>
      <c r="H117" s="5" t="s">
        <v>110</v>
      </c>
      <c r="I117" s="5" t="s">
        <v>80</v>
      </c>
      <c r="J117" s="5" t="s">
        <v>163</v>
      </c>
      <c r="K117" s="5" t="s">
        <v>82</v>
      </c>
      <c r="L117" s="5">
        <v>3</v>
      </c>
      <c r="M117" s="5" t="s">
        <v>112</v>
      </c>
      <c r="N117" s="5" t="s">
        <v>84</v>
      </c>
      <c r="O117" s="5">
        <v>5</v>
      </c>
      <c r="P117" s="5" t="s">
        <v>113</v>
      </c>
      <c r="Q117" s="5">
        <v>6</v>
      </c>
      <c r="R117" s="5">
        <v>7</v>
      </c>
      <c r="S117" s="5" t="s">
        <v>88</v>
      </c>
      <c r="T117" s="5" t="s">
        <v>88</v>
      </c>
      <c r="U117" s="5" t="s">
        <v>129</v>
      </c>
      <c r="V117" s="5">
        <v>1010</v>
      </c>
      <c r="W117" s="5"/>
      <c r="X117" s="5" t="s">
        <v>116</v>
      </c>
      <c r="Y117" s="5" t="s">
        <v>298</v>
      </c>
      <c r="Z117" s="5" t="s">
        <v>91</v>
      </c>
      <c r="AA117" s="5" t="s">
        <v>92</v>
      </c>
      <c r="AB117" s="5" t="s">
        <v>93</v>
      </c>
      <c r="AC117" s="5" t="s">
        <v>118</v>
      </c>
      <c r="AD117" s="5" t="s">
        <v>95</v>
      </c>
      <c r="AE117" s="5" t="s">
        <v>131</v>
      </c>
      <c r="AF117" s="5" t="s">
        <v>144</v>
      </c>
      <c r="AG117" s="5" t="s">
        <v>133</v>
      </c>
      <c r="AH117" s="5" t="s">
        <v>120</v>
      </c>
      <c r="AI117" s="5" t="s">
        <v>78</v>
      </c>
      <c r="AJ117" s="5" t="s">
        <v>159</v>
      </c>
      <c r="AK117" s="5" t="s">
        <v>101</v>
      </c>
      <c r="AL117" s="5" t="s">
        <v>100</v>
      </c>
      <c r="AM117" s="5">
        <v>2100</v>
      </c>
      <c r="AN117" s="5" t="s">
        <v>92</v>
      </c>
      <c r="AO117" s="5" t="s">
        <v>101</v>
      </c>
      <c r="AP117" s="5" t="s">
        <v>101</v>
      </c>
      <c r="AQ117" s="5" t="s">
        <v>101</v>
      </c>
      <c r="AR117" s="5" t="s">
        <v>101</v>
      </c>
      <c r="AS117" s="5"/>
      <c r="AT117" s="5" t="s">
        <v>104</v>
      </c>
      <c r="AU117" s="5" t="s">
        <v>220</v>
      </c>
      <c r="AV117" s="5" t="s">
        <v>103</v>
      </c>
      <c r="AW117" s="5" t="s">
        <v>147</v>
      </c>
      <c r="AX117" s="5" t="s">
        <v>106</v>
      </c>
      <c r="AY117" s="5">
        <v>2750</v>
      </c>
      <c r="AZ117" s="5">
        <v>2750</v>
      </c>
      <c r="BA117" s="5">
        <v>1500</v>
      </c>
      <c r="BB117" s="5">
        <v>1740</v>
      </c>
      <c r="BC117" s="5">
        <v>0.36699999999999999</v>
      </c>
      <c r="BD117" s="5">
        <v>0.45500000000000002</v>
      </c>
      <c r="BE117" s="5">
        <v>0.85699999999999998</v>
      </c>
      <c r="BF117" s="5">
        <v>7534</v>
      </c>
      <c r="BG117" s="5">
        <v>0.27900000000000003</v>
      </c>
      <c r="BH117" s="5">
        <v>0</v>
      </c>
      <c r="BI117" s="5">
        <v>0</v>
      </c>
      <c r="BJ117" s="5">
        <v>1</v>
      </c>
      <c r="BK117" s="5">
        <v>0</v>
      </c>
      <c r="BL117" s="5" t="s">
        <v>107</v>
      </c>
      <c r="BM117" s="5">
        <v>1</v>
      </c>
      <c r="BN117" s="5">
        <v>3.33</v>
      </c>
      <c r="BO117" s="5">
        <v>2240</v>
      </c>
      <c r="BP117" s="5">
        <v>9600</v>
      </c>
    </row>
    <row r="118" spans="1:68" x14ac:dyDescent="0.3">
      <c r="A118" s="5" t="s">
        <v>363</v>
      </c>
      <c r="B118" s="6">
        <v>46316</v>
      </c>
      <c r="C118" s="5" t="s">
        <v>354</v>
      </c>
      <c r="D118" s="5" t="s">
        <v>218</v>
      </c>
      <c r="E118" s="5" t="s">
        <v>77</v>
      </c>
      <c r="F118" s="5" t="s">
        <v>78</v>
      </c>
      <c r="G118" s="5">
        <v>7</v>
      </c>
      <c r="H118" s="5" t="s">
        <v>79</v>
      </c>
      <c r="I118" s="5" t="s">
        <v>80</v>
      </c>
      <c r="J118" s="5" t="s">
        <v>81</v>
      </c>
      <c r="K118" s="5" t="s">
        <v>82</v>
      </c>
      <c r="L118" s="5">
        <v>0</v>
      </c>
      <c r="M118" s="5" t="s">
        <v>173</v>
      </c>
      <c r="N118" s="5" t="s">
        <v>84</v>
      </c>
      <c r="O118" s="5">
        <v>5</v>
      </c>
      <c r="P118" s="5" t="s">
        <v>149</v>
      </c>
      <c r="Q118" s="5">
        <v>7</v>
      </c>
      <c r="R118" s="5">
        <v>11</v>
      </c>
      <c r="S118" s="5" t="s">
        <v>86</v>
      </c>
      <c r="T118" s="5" t="s">
        <v>87</v>
      </c>
      <c r="U118" s="5" t="s">
        <v>88</v>
      </c>
      <c r="V118" s="5">
        <v>2170</v>
      </c>
      <c r="W118" s="5"/>
      <c r="X118" s="5" t="s">
        <v>116</v>
      </c>
      <c r="Y118" s="5" t="s">
        <v>90</v>
      </c>
      <c r="Z118" s="5" t="s">
        <v>91</v>
      </c>
      <c r="AA118" s="5" t="s">
        <v>92</v>
      </c>
      <c r="AB118" s="5" t="s">
        <v>93</v>
      </c>
      <c r="AC118" s="5" t="s">
        <v>118</v>
      </c>
      <c r="AD118" s="5" t="s">
        <v>119</v>
      </c>
      <c r="AE118" s="5" t="s">
        <v>169</v>
      </c>
      <c r="AF118" s="5" t="s">
        <v>92</v>
      </c>
      <c r="AG118" s="5" t="s">
        <v>133</v>
      </c>
      <c r="AH118" s="5" t="s">
        <v>152</v>
      </c>
      <c r="AI118" s="5" t="s">
        <v>92</v>
      </c>
      <c r="AJ118" s="5" t="s">
        <v>98</v>
      </c>
      <c r="AK118" s="5" t="s">
        <v>121</v>
      </c>
      <c r="AL118" s="5" t="s">
        <v>170</v>
      </c>
      <c r="AM118" s="5">
        <v>1700</v>
      </c>
      <c r="AN118" s="5" t="s">
        <v>92</v>
      </c>
      <c r="AO118" s="5" t="s">
        <v>101</v>
      </c>
      <c r="AP118" s="5" t="s">
        <v>101</v>
      </c>
      <c r="AQ118" s="5" t="s">
        <v>101</v>
      </c>
      <c r="AR118" s="5" t="s">
        <v>101</v>
      </c>
      <c r="AS118" s="5"/>
      <c r="AT118" s="5" t="s">
        <v>220</v>
      </c>
      <c r="AU118" s="5" t="s">
        <v>102</v>
      </c>
      <c r="AV118" s="5" t="s">
        <v>153</v>
      </c>
      <c r="AW118" s="5" t="s">
        <v>105</v>
      </c>
      <c r="AX118" s="5" t="s">
        <v>106</v>
      </c>
      <c r="AY118" s="5">
        <v>6000</v>
      </c>
      <c r="AZ118" s="5">
        <v>8000</v>
      </c>
      <c r="BA118" s="5">
        <v>2750</v>
      </c>
      <c r="BB118" s="5">
        <v>3830</v>
      </c>
      <c r="BC118" s="5">
        <v>0.36199999999999999</v>
      </c>
      <c r="BD118" s="5">
        <v>0.875</v>
      </c>
      <c r="BE118" s="5">
        <v>1</v>
      </c>
      <c r="BF118" s="5">
        <v>16584</v>
      </c>
      <c r="BG118" s="5">
        <v>0.10299999999999999</v>
      </c>
      <c r="BH118" s="5">
        <v>0</v>
      </c>
      <c r="BI118" s="5">
        <v>0</v>
      </c>
      <c r="BJ118" s="5">
        <v>2</v>
      </c>
      <c r="BK118" s="5">
        <v>0</v>
      </c>
      <c r="BL118" s="5" t="s">
        <v>107</v>
      </c>
      <c r="BM118" s="5">
        <v>1</v>
      </c>
      <c r="BN118" s="5">
        <v>2</v>
      </c>
      <c r="BO118" s="5">
        <v>6160</v>
      </c>
      <c r="BP118" s="5">
        <v>26500</v>
      </c>
    </row>
    <row r="119" spans="1:68" x14ac:dyDescent="0.3">
      <c r="A119" s="5" t="s">
        <v>364</v>
      </c>
      <c r="B119" s="6">
        <v>46316</v>
      </c>
      <c r="C119" s="5" t="s">
        <v>354</v>
      </c>
      <c r="D119" s="5" t="s">
        <v>195</v>
      </c>
      <c r="E119" s="5" t="s">
        <v>138</v>
      </c>
      <c r="F119" s="5" t="s">
        <v>78</v>
      </c>
      <c r="G119" s="5">
        <v>7</v>
      </c>
      <c r="H119" s="5" t="s">
        <v>156</v>
      </c>
      <c r="I119" s="5" t="s">
        <v>80</v>
      </c>
      <c r="J119" s="5" t="s">
        <v>178</v>
      </c>
      <c r="K119" s="5" t="s">
        <v>82</v>
      </c>
      <c r="L119" s="5">
        <v>3</v>
      </c>
      <c r="M119" s="5" t="s">
        <v>197</v>
      </c>
      <c r="N119" s="5" t="s">
        <v>84</v>
      </c>
      <c r="O119" s="5">
        <v>19</v>
      </c>
      <c r="P119" s="5" t="s">
        <v>149</v>
      </c>
      <c r="Q119" s="5">
        <v>3</v>
      </c>
      <c r="R119" s="5">
        <v>14</v>
      </c>
      <c r="S119" s="5" t="s">
        <v>86</v>
      </c>
      <c r="T119" s="5" t="s">
        <v>86</v>
      </c>
      <c r="U119" s="5" t="s">
        <v>88</v>
      </c>
      <c r="V119" s="5">
        <v>1570</v>
      </c>
      <c r="W119" s="5"/>
      <c r="X119" s="5" t="s">
        <v>116</v>
      </c>
      <c r="Y119" s="5" t="s">
        <v>90</v>
      </c>
      <c r="Z119" s="5" t="s">
        <v>91</v>
      </c>
      <c r="AA119" s="5" t="s">
        <v>92</v>
      </c>
      <c r="AB119" s="5" t="s">
        <v>93</v>
      </c>
      <c r="AC119" s="5" t="s">
        <v>118</v>
      </c>
      <c r="AD119" s="5" t="s">
        <v>119</v>
      </c>
      <c r="AE119" s="5" t="s">
        <v>131</v>
      </c>
      <c r="AF119" s="5" t="s">
        <v>92</v>
      </c>
      <c r="AG119" s="5" t="s">
        <v>96</v>
      </c>
      <c r="AH119" s="5" t="s">
        <v>152</v>
      </c>
      <c r="AI119" s="5" t="s">
        <v>92</v>
      </c>
      <c r="AJ119" s="5" t="s">
        <v>98</v>
      </c>
      <c r="AK119" s="5" t="s">
        <v>99</v>
      </c>
      <c r="AL119" s="5" t="s">
        <v>107</v>
      </c>
      <c r="AM119" s="5">
        <v>0</v>
      </c>
      <c r="AN119" s="5" t="s">
        <v>122</v>
      </c>
      <c r="AO119" s="5" t="s">
        <v>101</v>
      </c>
      <c r="AP119" s="5" t="s">
        <v>101</v>
      </c>
      <c r="AQ119" s="5" t="s">
        <v>101</v>
      </c>
      <c r="AR119" s="5" t="s">
        <v>101</v>
      </c>
      <c r="AS119" s="5"/>
      <c r="AT119" s="5" t="s">
        <v>103</v>
      </c>
      <c r="AU119" s="5" t="s">
        <v>220</v>
      </c>
      <c r="AV119" s="5" t="s">
        <v>104</v>
      </c>
      <c r="AW119" s="5" t="s">
        <v>105</v>
      </c>
      <c r="AX119" s="5" t="s">
        <v>106</v>
      </c>
      <c r="AY119" s="5">
        <v>6000</v>
      </c>
      <c r="AZ119" s="5">
        <v>6000</v>
      </c>
      <c r="BA119" s="5">
        <v>2750</v>
      </c>
      <c r="BB119" s="5">
        <v>4430</v>
      </c>
      <c r="BC119" s="5">
        <v>0.26200000000000001</v>
      </c>
      <c r="BD119" s="5">
        <v>0.54200000000000004</v>
      </c>
      <c r="BE119" s="5">
        <v>0.42899999999999999</v>
      </c>
      <c r="BF119" s="5">
        <v>19182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 t="s">
        <v>107</v>
      </c>
      <c r="BM119" s="5">
        <v>1</v>
      </c>
      <c r="BN119" s="5">
        <v>3.33</v>
      </c>
      <c r="BO119" s="5">
        <v>5170</v>
      </c>
      <c r="BP119" s="5">
        <v>22200</v>
      </c>
    </row>
    <row r="120" spans="1:68" x14ac:dyDescent="0.3">
      <c r="A120" s="5" t="s">
        <v>365</v>
      </c>
      <c r="B120" s="6">
        <v>46316</v>
      </c>
      <c r="C120" s="5" t="s">
        <v>354</v>
      </c>
      <c r="D120" s="5" t="s">
        <v>76</v>
      </c>
      <c r="E120" s="5" t="s">
        <v>138</v>
      </c>
      <c r="F120" s="5" t="s">
        <v>78</v>
      </c>
      <c r="G120" s="5">
        <v>8</v>
      </c>
      <c r="H120" s="5" t="s">
        <v>156</v>
      </c>
      <c r="I120" s="5" t="s">
        <v>80</v>
      </c>
      <c r="J120" s="5" t="s">
        <v>163</v>
      </c>
      <c r="K120" s="5" t="s">
        <v>82</v>
      </c>
      <c r="L120" s="5">
        <v>4</v>
      </c>
      <c r="M120" s="5" t="s">
        <v>83</v>
      </c>
      <c r="N120" s="5" t="s">
        <v>84</v>
      </c>
      <c r="O120" s="5">
        <v>19</v>
      </c>
      <c r="P120" s="5" t="s">
        <v>149</v>
      </c>
      <c r="Q120" s="5">
        <v>6</v>
      </c>
      <c r="R120" s="5">
        <v>2</v>
      </c>
      <c r="S120" s="5" t="s">
        <v>129</v>
      </c>
      <c r="T120" s="5" t="s">
        <v>129</v>
      </c>
      <c r="U120" s="5" t="s">
        <v>129</v>
      </c>
      <c r="V120" s="5">
        <v>340</v>
      </c>
      <c r="W120" s="5" t="s">
        <v>366</v>
      </c>
      <c r="X120" s="5" t="s">
        <v>116</v>
      </c>
      <c r="Y120" s="5" t="s">
        <v>90</v>
      </c>
      <c r="Z120" s="5" t="s">
        <v>168</v>
      </c>
      <c r="AA120" s="5" t="s">
        <v>92</v>
      </c>
      <c r="AB120" s="5" t="s">
        <v>93</v>
      </c>
      <c r="AC120" s="5" t="s">
        <v>118</v>
      </c>
      <c r="AD120" s="5" t="s">
        <v>119</v>
      </c>
      <c r="AE120" s="5" t="s">
        <v>169</v>
      </c>
      <c r="AF120" s="5" t="s">
        <v>92</v>
      </c>
      <c r="AG120" s="5" t="s">
        <v>133</v>
      </c>
      <c r="AH120" s="5" t="s">
        <v>97</v>
      </c>
      <c r="AI120" s="5" t="s">
        <v>78</v>
      </c>
      <c r="AJ120" s="5" t="s">
        <v>216</v>
      </c>
      <c r="AK120" s="5" t="s">
        <v>145</v>
      </c>
      <c r="AL120" s="5" t="s">
        <v>107</v>
      </c>
      <c r="AM120" s="5">
        <v>0</v>
      </c>
      <c r="AN120" s="5" t="s">
        <v>122</v>
      </c>
      <c r="AO120" s="5" t="s">
        <v>101</v>
      </c>
      <c r="AP120" s="5" t="s">
        <v>101</v>
      </c>
      <c r="AQ120" s="5" t="s">
        <v>101</v>
      </c>
      <c r="AR120" s="5" t="s">
        <v>101</v>
      </c>
      <c r="AS120" s="5"/>
      <c r="AT120" s="5" t="s">
        <v>104</v>
      </c>
      <c r="AU120" s="5" t="s">
        <v>220</v>
      </c>
      <c r="AV120" s="5" t="s">
        <v>104</v>
      </c>
      <c r="AW120" s="5" t="s">
        <v>135</v>
      </c>
      <c r="AX120" s="5" t="s">
        <v>106</v>
      </c>
      <c r="AY120" s="5">
        <v>1500</v>
      </c>
      <c r="AZ120" s="5">
        <v>1500</v>
      </c>
      <c r="BA120" s="5">
        <v>1500</v>
      </c>
      <c r="BB120" s="5">
        <v>1160</v>
      </c>
      <c r="BC120" s="5">
        <v>0.22700000000000001</v>
      </c>
      <c r="BD120" s="5">
        <v>0</v>
      </c>
      <c r="BE120" s="5">
        <v>0.85699999999999998</v>
      </c>
      <c r="BF120" s="5">
        <v>5023</v>
      </c>
      <c r="BG120" s="5">
        <v>0</v>
      </c>
      <c r="BH120" s="5">
        <v>0</v>
      </c>
      <c r="BI120" s="5">
        <v>3</v>
      </c>
      <c r="BJ120" s="5">
        <v>0</v>
      </c>
      <c r="BK120" s="5">
        <v>0</v>
      </c>
      <c r="BL120" s="5" t="s">
        <v>107</v>
      </c>
      <c r="BM120" s="5">
        <v>0</v>
      </c>
      <c r="BN120" s="5">
        <v>3</v>
      </c>
      <c r="BO120" s="5">
        <v>900</v>
      </c>
      <c r="BP120" s="5">
        <v>3900</v>
      </c>
    </row>
    <row r="121" spans="1:68" x14ac:dyDescent="0.3">
      <c r="A121" s="5" t="s">
        <v>367</v>
      </c>
      <c r="B121" s="6">
        <v>46316</v>
      </c>
      <c r="C121" s="5" t="s">
        <v>354</v>
      </c>
      <c r="D121" s="5" t="s">
        <v>218</v>
      </c>
      <c r="E121" s="5" t="s">
        <v>187</v>
      </c>
      <c r="F121" s="5" t="s">
        <v>78</v>
      </c>
      <c r="G121" s="5">
        <v>9</v>
      </c>
      <c r="H121" s="5" t="s">
        <v>79</v>
      </c>
      <c r="I121" s="5" t="s">
        <v>125</v>
      </c>
      <c r="J121" s="5" t="s">
        <v>196</v>
      </c>
      <c r="K121" s="5" t="s">
        <v>127</v>
      </c>
      <c r="L121" s="5">
        <v>0</v>
      </c>
      <c r="M121" s="5" t="s">
        <v>173</v>
      </c>
      <c r="N121" s="5" t="s">
        <v>84</v>
      </c>
      <c r="O121" s="5">
        <v>21</v>
      </c>
      <c r="P121" s="5" t="s">
        <v>149</v>
      </c>
      <c r="Q121" s="5">
        <v>4</v>
      </c>
      <c r="R121" s="5">
        <v>6</v>
      </c>
      <c r="S121" s="5" t="s">
        <v>129</v>
      </c>
      <c r="T121" s="5" t="s">
        <v>88</v>
      </c>
      <c r="U121" s="5" t="s">
        <v>129</v>
      </c>
      <c r="V121" s="5">
        <v>740</v>
      </c>
      <c r="W121" s="5" t="s">
        <v>214</v>
      </c>
      <c r="X121" s="5" t="s">
        <v>116</v>
      </c>
      <c r="Y121" s="5" t="s">
        <v>90</v>
      </c>
      <c r="Z121" s="5" t="s">
        <v>91</v>
      </c>
      <c r="AA121" s="5" t="s">
        <v>92</v>
      </c>
      <c r="AB121" s="5" t="s">
        <v>93</v>
      </c>
      <c r="AC121" s="5" t="s">
        <v>118</v>
      </c>
      <c r="AD121" s="5" t="s">
        <v>95</v>
      </c>
      <c r="AE121" s="5" t="s">
        <v>84</v>
      </c>
      <c r="AF121" s="5" t="s">
        <v>132</v>
      </c>
      <c r="AG121" s="5" t="s">
        <v>181</v>
      </c>
      <c r="AH121" s="5" t="s">
        <v>120</v>
      </c>
      <c r="AI121" s="5" t="s">
        <v>78</v>
      </c>
      <c r="AJ121" s="5" t="s">
        <v>159</v>
      </c>
      <c r="AK121" s="5" t="s">
        <v>101</v>
      </c>
      <c r="AL121" s="5" t="s">
        <v>302</v>
      </c>
      <c r="AM121" s="5">
        <v>5200</v>
      </c>
      <c r="AN121" s="5" t="s">
        <v>92</v>
      </c>
      <c r="AO121" s="5" t="s">
        <v>101</v>
      </c>
      <c r="AP121" s="5" t="s">
        <v>101</v>
      </c>
      <c r="AQ121" s="5" t="s">
        <v>101</v>
      </c>
      <c r="AR121" s="5" t="s">
        <v>101</v>
      </c>
      <c r="AS121" s="5"/>
      <c r="AT121" s="5" t="s">
        <v>102</v>
      </c>
      <c r="AU121" s="5" t="s">
        <v>220</v>
      </c>
      <c r="AV121" s="5" t="s">
        <v>102</v>
      </c>
      <c r="AW121" s="5" t="s">
        <v>135</v>
      </c>
      <c r="AX121" s="5" t="s">
        <v>106</v>
      </c>
      <c r="AY121" s="5">
        <v>1500</v>
      </c>
      <c r="AZ121" s="5">
        <v>2750</v>
      </c>
      <c r="BA121" s="5">
        <v>1500</v>
      </c>
      <c r="BB121" s="5">
        <v>760</v>
      </c>
      <c r="BC121" s="5">
        <v>0.49299999999999999</v>
      </c>
      <c r="BD121" s="5">
        <v>0.83299999999999996</v>
      </c>
      <c r="BE121" s="5">
        <v>0.57099999999999995</v>
      </c>
      <c r="BF121" s="5">
        <v>3291</v>
      </c>
      <c r="BG121" s="5">
        <v>1.58</v>
      </c>
      <c r="BH121" s="5">
        <v>0</v>
      </c>
      <c r="BI121" s="5">
        <v>1</v>
      </c>
      <c r="BJ121" s="5">
        <v>2</v>
      </c>
      <c r="BK121" s="5">
        <v>0</v>
      </c>
      <c r="BL121" s="5" t="s">
        <v>107</v>
      </c>
      <c r="BM121" s="5">
        <v>1</v>
      </c>
      <c r="BN121" s="5">
        <v>1.67</v>
      </c>
      <c r="BO121" s="5">
        <v>1660</v>
      </c>
      <c r="BP121" s="5">
        <v>7100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showGridLines="0" zoomScaleNormal="100" workbookViewId="0">
      <pane ySplit="4" topLeftCell="A26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60" customWidth="1"/>
    <col min="3" max="3" width="34" customWidth="1"/>
    <col min="4" max="4" width="80" customWidth="1"/>
  </cols>
  <sheetData>
    <row r="1" spans="1:4" ht="16.8" x14ac:dyDescent="0.3">
      <c r="A1" s="7" t="s">
        <v>368</v>
      </c>
    </row>
    <row r="2" spans="1:4" x14ac:dyDescent="0.3">
      <c r="A2" s="8" t="s">
        <v>369</v>
      </c>
    </row>
    <row r="4" spans="1:4" x14ac:dyDescent="0.3">
      <c r="A4" s="9" t="s">
        <v>370</v>
      </c>
      <c r="B4" s="9" t="s">
        <v>371</v>
      </c>
      <c r="C4" s="9" t="s">
        <v>372</v>
      </c>
      <c r="D4" s="9" t="s">
        <v>373</v>
      </c>
    </row>
    <row r="5" spans="1:4" ht="34.200000000000003" x14ac:dyDescent="0.3">
      <c r="A5" s="10" t="s">
        <v>374</v>
      </c>
      <c r="B5" s="10" t="s">
        <v>375</v>
      </c>
      <c r="C5" s="10" t="s">
        <v>376</v>
      </c>
      <c r="D5" s="10" t="s">
        <v>377</v>
      </c>
    </row>
    <row r="6" spans="1:4" ht="34.200000000000003" x14ac:dyDescent="0.3">
      <c r="A6" s="10" t="s">
        <v>18</v>
      </c>
      <c r="B6" s="10" t="s">
        <v>378</v>
      </c>
      <c r="C6" s="10" t="s">
        <v>379</v>
      </c>
      <c r="D6" s="10" t="s">
        <v>380</v>
      </c>
    </row>
    <row r="7" spans="1:4" x14ac:dyDescent="0.3">
      <c r="A7" s="10" t="s">
        <v>13</v>
      </c>
      <c r="B7" s="10" t="s">
        <v>381</v>
      </c>
      <c r="C7" s="10" t="s">
        <v>382</v>
      </c>
      <c r="D7" s="10" t="s">
        <v>383</v>
      </c>
    </row>
    <row r="8" spans="1:4" x14ac:dyDescent="0.3">
      <c r="A8" s="10" t="s">
        <v>14</v>
      </c>
      <c r="B8" s="10" t="s">
        <v>384</v>
      </c>
      <c r="C8" s="10" t="s">
        <v>385</v>
      </c>
      <c r="D8" s="10" t="s">
        <v>386</v>
      </c>
    </row>
    <row r="9" spans="1:4" x14ac:dyDescent="0.3">
      <c r="A9" s="10" t="s">
        <v>15</v>
      </c>
      <c r="B9" s="10" t="s">
        <v>387</v>
      </c>
      <c r="C9" s="10" t="s">
        <v>388</v>
      </c>
      <c r="D9" s="10" t="s">
        <v>389</v>
      </c>
    </row>
    <row r="10" spans="1:4" x14ac:dyDescent="0.3">
      <c r="A10" s="10" t="s">
        <v>16</v>
      </c>
      <c r="B10" s="10" t="s">
        <v>390</v>
      </c>
      <c r="C10" s="10" t="s">
        <v>391</v>
      </c>
      <c r="D10" s="10" t="s">
        <v>392</v>
      </c>
    </row>
    <row r="11" spans="1:4" x14ac:dyDescent="0.3">
      <c r="A11" s="10" t="s">
        <v>17</v>
      </c>
      <c r="B11" s="10" t="s">
        <v>393</v>
      </c>
      <c r="C11" s="10" t="s">
        <v>394</v>
      </c>
      <c r="D11" s="10" t="s">
        <v>395</v>
      </c>
    </row>
    <row r="12" spans="1:4" ht="22.8" x14ac:dyDescent="0.3">
      <c r="A12" s="10" t="s">
        <v>19</v>
      </c>
      <c r="B12" s="10" t="s">
        <v>396</v>
      </c>
      <c r="C12" s="10" t="s">
        <v>397</v>
      </c>
      <c r="D12" s="10" t="s">
        <v>398</v>
      </c>
    </row>
    <row r="13" spans="1:4" x14ac:dyDescent="0.3">
      <c r="A13" s="10" t="s">
        <v>20</v>
      </c>
      <c r="B13" s="10" t="s">
        <v>399</v>
      </c>
      <c r="C13" s="10" t="s">
        <v>400</v>
      </c>
      <c r="D13" s="10" t="s">
        <v>401</v>
      </c>
    </row>
    <row r="14" spans="1:4" ht="22.8" x14ac:dyDescent="0.3">
      <c r="A14" s="10" t="s">
        <v>21</v>
      </c>
      <c r="B14" s="10" t="s">
        <v>402</v>
      </c>
      <c r="C14" s="10" t="s">
        <v>403</v>
      </c>
      <c r="D14" s="10" t="s">
        <v>404</v>
      </c>
    </row>
    <row r="15" spans="1:4" ht="22.8" x14ac:dyDescent="0.3">
      <c r="A15" s="10" t="s">
        <v>405</v>
      </c>
      <c r="B15" s="10" t="s">
        <v>406</v>
      </c>
      <c r="C15" s="10" t="s">
        <v>407</v>
      </c>
      <c r="D15" s="10" t="s">
        <v>408</v>
      </c>
    </row>
    <row r="16" spans="1:4" ht="34.200000000000003" x14ac:dyDescent="0.3">
      <c r="A16" s="10" t="s">
        <v>409</v>
      </c>
      <c r="B16" s="10" t="s">
        <v>410</v>
      </c>
      <c r="C16" s="10" t="s">
        <v>411</v>
      </c>
      <c r="D16" s="10" t="s">
        <v>412</v>
      </c>
    </row>
    <row r="17" spans="1:4" ht="22.8" x14ac:dyDescent="0.3">
      <c r="A17" s="10" t="s">
        <v>413</v>
      </c>
      <c r="B17" s="10" t="s">
        <v>414</v>
      </c>
      <c r="C17" s="10" t="s">
        <v>415</v>
      </c>
      <c r="D17" s="10" t="s">
        <v>416</v>
      </c>
    </row>
    <row r="18" spans="1:4" ht="22.8" x14ac:dyDescent="0.3">
      <c r="A18" s="10" t="s">
        <v>27</v>
      </c>
      <c r="B18" s="10" t="s">
        <v>417</v>
      </c>
      <c r="C18" s="10" t="s">
        <v>418</v>
      </c>
      <c r="D18" s="10" t="s">
        <v>419</v>
      </c>
    </row>
    <row r="19" spans="1:4" ht="22.8" x14ac:dyDescent="0.3">
      <c r="A19" s="10" t="s">
        <v>28</v>
      </c>
      <c r="B19" s="10" t="s">
        <v>420</v>
      </c>
      <c r="C19" s="10" t="s">
        <v>421</v>
      </c>
      <c r="D19" s="10" t="s">
        <v>422</v>
      </c>
    </row>
    <row r="20" spans="1:4" ht="22.8" x14ac:dyDescent="0.3">
      <c r="A20" s="10" t="s">
        <v>29</v>
      </c>
      <c r="B20" s="10" t="s">
        <v>423</v>
      </c>
      <c r="C20" s="10" t="s">
        <v>424</v>
      </c>
      <c r="D20" s="10" t="s">
        <v>425</v>
      </c>
    </row>
    <row r="21" spans="1:4" ht="22.8" x14ac:dyDescent="0.3">
      <c r="A21" s="10" t="s">
        <v>426</v>
      </c>
      <c r="B21" s="10" t="s">
        <v>427</v>
      </c>
      <c r="C21" s="10" t="s">
        <v>428</v>
      </c>
      <c r="D21" s="10" t="s">
        <v>429</v>
      </c>
    </row>
    <row r="22" spans="1:4" ht="22.8" x14ac:dyDescent="0.3">
      <c r="A22" s="10" t="s">
        <v>430</v>
      </c>
      <c r="B22" s="10" t="s">
        <v>431</v>
      </c>
      <c r="C22" s="10" t="s">
        <v>432</v>
      </c>
      <c r="D22" s="10" t="s">
        <v>433</v>
      </c>
    </row>
    <row r="23" spans="1:4" ht="22.8" x14ac:dyDescent="0.3">
      <c r="A23" s="10" t="s">
        <v>34</v>
      </c>
      <c r="B23" s="10" t="s">
        <v>434</v>
      </c>
      <c r="C23" s="10" t="s">
        <v>435</v>
      </c>
      <c r="D23" s="10" t="s">
        <v>436</v>
      </c>
    </row>
    <row r="24" spans="1:4" x14ac:dyDescent="0.3">
      <c r="A24" s="10" t="s">
        <v>437</v>
      </c>
      <c r="B24" s="10" t="s">
        <v>438</v>
      </c>
      <c r="C24" s="10" t="s">
        <v>439</v>
      </c>
      <c r="D24" s="10" t="s">
        <v>440</v>
      </c>
    </row>
    <row r="25" spans="1:4" ht="22.8" x14ac:dyDescent="0.3">
      <c r="A25" s="10" t="s">
        <v>37</v>
      </c>
      <c r="B25" s="10" t="s">
        <v>441</v>
      </c>
      <c r="C25" s="10" t="s">
        <v>442</v>
      </c>
      <c r="D25" s="10" t="s">
        <v>443</v>
      </c>
    </row>
    <row r="26" spans="1:4" x14ac:dyDescent="0.3">
      <c r="A26" s="10" t="s">
        <v>38</v>
      </c>
      <c r="B26" s="10" t="s">
        <v>444</v>
      </c>
      <c r="C26" s="10" t="s">
        <v>445</v>
      </c>
      <c r="D26" s="10" t="s">
        <v>446</v>
      </c>
    </row>
    <row r="27" spans="1:4" ht="22.8" x14ac:dyDescent="0.3">
      <c r="A27" s="10" t="s">
        <v>39</v>
      </c>
      <c r="B27" s="10" t="s">
        <v>447</v>
      </c>
      <c r="C27" s="10" t="s">
        <v>448</v>
      </c>
      <c r="D27" s="10" t="s">
        <v>449</v>
      </c>
    </row>
    <row r="28" spans="1:4" ht="22.8" x14ac:dyDescent="0.3">
      <c r="A28" s="10" t="s">
        <v>450</v>
      </c>
      <c r="B28" s="10" t="s">
        <v>451</v>
      </c>
      <c r="C28" s="10" t="s">
        <v>452</v>
      </c>
      <c r="D28" s="10" t="s">
        <v>453</v>
      </c>
    </row>
    <row r="29" spans="1:4" ht="34.200000000000003" x14ac:dyDescent="0.3">
      <c r="A29" s="10" t="s">
        <v>42</v>
      </c>
      <c r="B29" s="10" t="s">
        <v>454</v>
      </c>
      <c r="C29" s="10" t="s">
        <v>455</v>
      </c>
      <c r="D29" s="10" t="s">
        <v>456</v>
      </c>
    </row>
    <row r="30" spans="1:4" ht="45.6" x14ac:dyDescent="0.3">
      <c r="A30" s="10" t="s">
        <v>43</v>
      </c>
      <c r="B30" s="10" t="s">
        <v>457</v>
      </c>
      <c r="C30" s="10" t="s">
        <v>458</v>
      </c>
      <c r="D30" s="10" t="s">
        <v>459</v>
      </c>
    </row>
    <row r="31" spans="1:4" ht="22.8" x14ac:dyDescent="0.3">
      <c r="A31" s="10" t="s">
        <v>44</v>
      </c>
      <c r="B31" s="10" t="s">
        <v>460</v>
      </c>
      <c r="C31" s="10" t="s">
        <v>461</v>
      </c>
      <c r="D31" s="10" t="s">
        <v>462</v>
      </c>
    </row>
    <row r="32" spans="1:4" ht="34.200000000000003" x14ac:dyDescent="0.3">
      <c r="A32" s="10" t="s">
        <v>463</v>
      </c>
      <c r="B32" s="10" t="s">
        <v>464</v>
      </c>
      <c r="C32" s="10" t="s">
        <v>465</v>
      </c>
      <c r="D32" s="10" t="s">
        <v>466</v>
      </c>
    </row>
    <row r="33" spans="1:4" ht="22.8" x14ac:dyDescent="0.3">
      <c r="A33" s="10" t="s">
        <v>47</v>
      </c>
      <c r="B33" s="10" t="s">
        <v>467</v>
      </c>
      <c r="C33" s="10" t="s">
        <v>468</v>
      </c>
      <c r="D33" s="10" t="s">
        <v>469</v>
      </c>
    </row>
    <row r="34" spans="1:4" ht="22.8" x14ac:dyDescent="0.3">
      <c r="A34" s="10" t="s">
        <v>470</v>
      </c>
      <c r="B34" s="10" t="s">
        <v>471</v>
      </c>
      <c r="C34" s="10" t="s">
        <v>472</v>
      </c>
      <c r="D34" s="10" t="s">
        <v>473</v>
      </c>
    </row>
    <row r="35" spans="1:4" x14ac:dyDescent="0.3">
      <c r="A35" s="10" t="s">
        <v>50</v>
      </c>
      <c r="B35" s="10" t="s">
        <v>474</v>
      </c>
      <c r="C35" s="10" t="s">
        <v>475</v>
      </c>
      <c r="D35" s="10" t="s">
        <v>476</v>
      </c>
    </row>
    <row r="36" spans="1:4" ht="22.8" x14ac:dyDescent="0.3">
      <c r="A36" s="10" t="s">
        <v>477</v>
      </c>
      <c r="B36" s="10" t="s">
        <v>478</v>
      </c>
      <c r="C36" s="10" t="s">
        <v>479</v>
      </c>
      <c r="D36" s="10" t="s">
        <v>480</v>
      </c>
    </row>
    <row r="37" spans="1:4" ht="22.8" x14ac:dyDescent="0.3">
      <c r="A37" s="10" t="s">
        <v>54</v>
      </c>
      <c r="B37" s="10" t="s">
        <v>481</v>
      </c>
      <c r="C37" s="10" t="s">
        <v>472</v>
      </c>
      <c r="D37" s="10" t="s">
        <v>482</v>
      </c>
    </row>
    <row r="38" spans="1:4" ht="34.200000000000003" x14ac:dyDescent="0.3">
      <c r="A38" s="10" t="s">
        <v>483</v>
      </c>
      <c r="B38" s="10" t="s">
        <v>484</v>
      </c>
      <c r="C38" s="10" t="s">
        <v>485</v>
      </c>
      <c r="D38" s="10" t="s">
        <v>486</v>
      </c>
    </row>
    <row r="41" spans="1:4" x14ac:dyDescent="0.3">
      <c r="A41" s="11" t="s">
        <v>487</v>
      </c>
    </row>
    <row r="42" spans="1:4" ht="25.5" customHeight="1" x14ac:dyDescent="0.3">
      <c r="A42" s="1" t="s">
        <v>488</v>
      </c>
      <c r="B42" s="1"/>
      <c r="C42" s="1"/>
      <c r="D42" s="1"/>
    </row>
    <row r="43" spans="1:4" ht="25.5" customHeight="1" x14ac:dyDescent="0.3">
      <c r="A43" s="1" t="s">
        <v>489</v>
      </c>
      <c r="B43" s="1"/>
      <c r="C43" s="1"/>
      <c r="D43" s="1"/>
    </row>
    <row r="44" spans="1:4" ht="25.5" customHeight="1" x14ac:dyDescent="0.3">
      <c r="A44" s="1" t="s">
        <v>490</v>
      </c>
      <c r="B44" s="1"/>
      <c r="C44" s="1"/>
      <c r="D44" s="1"/>
    </row>
    <row r="45" spans="1:4" ht="25.5" customHeight="1" x14ac:dyDescent="0.3">
      <c r="A45" s="1" t="s">
        <v>491</v>
      </c>
      <c r="B45" s="1"/>
      <c r="C45" s="1"/>
      <c r="D45" s="1"/>
    </row>
    <row r="46" spans="1:4" ht="25.5" customHeight="1" x14ac:dyDescent="0.3">
      <c r="A46" s="1" t="s">
        <v>492</v>
      </c>
      <c r="B46" s="1"/>
      <c r="C46" s="1"/>
      <c r="D46" s="1"/>
    </row>
    <row r="47" spans="1:4" ht="25.5" customHeight="1" x14ac:dyDescent="0.3">
      <c r="A47" s="1" t="s">
        <v>493</v>
      </c>
      <c r="B47" s="1"/>
      <c r="C47" s="1"/>
      <c r="D47" s="1"/>
    </row>
    <row r="48" spans="1:4" ht="25.5" customHeight="1" x14ac:dyDescent="0.3">
      <c r="A48" s="1" t="s">
        <v>494</v>
      </c>
      <c r="B48" s="1"/>
      <c r="C48" s="1"/>
      <c r="D48" s="1"/>
    </row>
    <row r="49" spans="1:4" ht="25.5" customHeight="1" x14ac:dyDescent="0.3">
      <c r="A49" s="1" t="s">
        <v>495</v>
      </c>
      <c r="B49" s="1"/>
      <c r="C49" s="1"/>
      <c r="D49" s="1"/>
    </row>
    <row r="50" spans="1:4" ht="25.5" customHeight="1" x14ac:dyDescent="0.3">
      <c r="A50" s="1" t="s">
        <v>496</v>
      </c>
      <c r="B50" s="1"/>
      <c r="C50" s="1"/>
      <c r="D50" s="1"/>
    </row>
    <row r="51" spans="1:4" ht="25.5" customHeight="1" x14ac:dyDescent="0.3">
      <c r="A51" s="1" t="s">
        <v>497</v>
      </c>
      <c r="B51" s="1"/>
      <c r="C51" s="1"/>
      <c r="D51" s="1"/>
    </row>
    <row r="52" spans="1:4" ht="25.5" customHeight="1" x14ac:dyDescent="0.3">
      <c r="A52" s="1" t="s">
        <v>498</v>
      </c>
      <c r="B52" s="1"/>
      <c r="C52" s="1"/>
      <c r="D52" s="1"/>
    </row>
    <row r="53" spans="1:4" ht="25.5" customHeight="1" x14ac:dyDescent="0.3">
      <c r="A53" s="1" t="s">
        <v>499</v>
      </c>
      <c r="B53" s="1"/>
      <c r="C53" s="1"/>
      <c r="D53" s="1"/>
    </row>
    <row r="54" spans="1:4" ht="25.5" customHeight="1" x14ac:dyDescent="0.3">
      <c r="A54" s="1" t="s">
        <v>500</v>
      </c>
      <c r="B54" s="1"/>
      <c r="C54" s="1"/>
      <c r="D54" s="1"/>
    </row>
    <row r="55" spans="1:4" ht="25.5" customHeight="1" x14ac:dyDescent="0.3">
      <c r="A55" s="1" t="s">
        <v>501</v>
      </c>
      <c r="B55" s="1"/>
      <c r="C55" s="1"/>
      <c r="D55" s="1"/>
    </row>
    <row r="56" spans="1:4" ht="25.5" customHeight="1" x14ac:dyDescent="0.3">
      <c r="A56" s="1" t="s">
        <v>502</v>
      </c>
      <c r="B56" s="1"/>
      <c r="C56" s="1"/>
      <c r="D56" s="1"/>
    </row>
    <row r="57" spans="1:4" ht="25.5" customHeight="1" x14ac:dyDescent="0.3">
      <c r="A57" s="1" t="s">
        <v>503</v>
      </c>
      <c r="B57" s="1"/>
      <c r="C57" s="1"/>
      <c r="D57" s="1"/>
    </row>
    <row r="58" spans="1:4" ht="25.5" customHeight="1" x14ac:dyDescent="0.3">
      <c r="A58" s="1" t="s">
        <v>504</v>
      </c>
      <c r="B58" s="1"/>
      <c r="C58" s="1"/>
      <c r="D58" s="1"/>
    </row>
    <row r="59" spans="1:4" ht="25.5" customHeight="1" x14ac:dyDescent="0.3">
      <c r="A59" s="1" t="s">
        <v>505</v>
      </c>
      <c r="B59" s="1"/>
      <c r="C59" s="1"/>
      <c r="D59" s="1"/>
    </row>
    <row r="60" spans="1:4" ht="25.5" customHeight="1" x14ac:dyDescent="0.3">
      <c r="A60" s="1" t="s">
        <v>506</v>
      </c>
      <c r="B60" s="1"/>
      <c r="C60" s="1"/>
      <c r="D60" s="1"/>
    </row>
    <row r="61" spans="1:4" ht="25.5" customHeight="1" x14ac:dyDescent="0.3">
      <c r="A61" s="1" t="s">
        <v>507</v>
      </c>
      <c r="B61" s="1"/>
      <c r="C61" s="1"/>
      <c r="D61" s="1"/>
    </row>
  </sheetData>
  <mergeCells count="20">
    <mergeCell ref="A57:D57"/>
    <mergeCell ref="A58:D58"/>
    <mergeCell ref="A59:D59"/>
    <mergeCell ref="A60:D60"/>
    <mergeCell ref="A61:D61"/>
    <mergeCell ref="A52:D52"/>
    <mergeCell ref="A53:D53"/>
    <mergeCell ref="A54:D54"/>
    <mergeCell ref="A55:D55"/>
    <mergeCell ref="A56:D56"/>
    <mergeCell ref="A47:D47"/>
    <mergeCell ref="A48:D48"/>
    <mergeCell ref="A49:D49"/>
    <mergeCell ref="A50:D50"/>
    <mergeCell ref="A51:D51"/>
    <mergeCell ref="A42:D42"/>
    <mergeCell ref="A43:D43"/>
    <mergeCell ref="A44:D44"/>
    <mergeCell ref="A45:D45"/>
    <mergeCell ref="A46:D4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showGridLines="0" zoomScaleNormal="100" workbookViewId="0"/>
  </sheetViews>
  <sheetFormatPr defaultColWidth="8.6640625" defaultRowHeight="14.4" x14ac:dyDescent="0.3"/>
  <cols>
    <col min="1" max="1" width="46" customWidth="1"/>
    <col min="2" max="2" width="18" customWidth="1"/>
    <col min="3" max="3" width="26" customWidth="1"/>
    <col min="4" max="4" width="40" customWidth="1"/>
  </cols>
  <sheetData>
    <row r="1" spans="1:4" ht="16.8" x14ac:dyDescent="0.3">
      <c r="A1" s="7" t="s">
        <v>508</v>
      </c>
    </row>
    <row r="2" spans="1:4" x14ac:dyDescent="0.3">
      <c r="A2" s="12" t="s">
        <v>509</v>
      </c>
    </row>
    <row r="4" spans="1:4" x14ac:dyDescent="0.3">
      <c r="A4" s="9" t="s">
        <v>510</v>
      </c>
      <c r="B4" s="9" t="s">
        <v>511</v>
      </c>
      <c r="C4" s="9" t="s">
        <v>512</v>
      </c>
      <c r="D4" s="9" t="s">
        <v>513</v>
      </c>
    </row>
    <row r="5" spans="1:4" x14ac:dyDescent="0.3">
      <c r="A5" s="10" t="s">
        <v>514</v>
      </c>
      <c r="B5" s="10">
        <f>COUNTA(Simulated_Data!$A$2:$A$121)</f>
        <v>120</v>
      </c>
      <c r="C5" s="10" t="s">
        <v>515</v>
      </c>
      <c r="D5" s="10" t="s">
        <v>516</v>
      </c>
    </row>
    <row r="6" spans="1:4" x14ac:dyDescent="0.3">
      <c r="A6" s="10" t="s">
        <v>517</v>
      </c>
      <c r="B6" s="13">
        <f>COUNTIF(Simulated_Data!$I$2:$I$121,"Male")/120</f>
        <v>0.94166666666666665</v>
      </c>
      <c r="C6" s="10" t="s">
        <v>518</v>
      </c>
      <c r="D6" s="10" t="s">
        <v>519</v>
      </c>
    </row>
    <row r="7" spans="1:4" x14ac:dyDescent="0.3">
      <c r="A7" s="10" t="s">
        <v>520</v>
      </c>
      <c r="B7" s="13">
        <f>(COUNTIF(Simulated_Data!$K$2:$K$121,"Other district of Maharashtra")+COUNTIF(Simulated_Data!$K$2:$K$121,"Other state"))/120</f>
        <v>0.43333333333333335</v>
      </c>
      <c r="C7" s="10" t="s">
        <v>521</v>
      </c>
      <c r="D7" s="10" t="s">
        <v>522</v>
      </c>
    </row>
    <row r="8" spans="1:4" x14ac:dyDescent="0.3">
      <c r="A8" s="10" t="s">
        <v>523</v>
      </c>
      <c r="B8" s="14">
        <f>MEDIAN(Simulated_Data!$BP$2:$BP$121)</f>
        <v>18500</v>
      </c>
      <c r="C8" s="10" t="s">
        <v>524</v>
      </c>
      <c r="D8" s="10" t="s">
        <v>525</v>
      </c>
    </row>
    <row r="9" spans="1:4" x14ac:dyDescent="0.3">
      <c r="A9" s="10" t="s">
        <v>526</v>
      </c>
      <c r="B9" s="13">
        <f>COUNTIF(Simulated_Data!$BP$2:$BP$121,"&lt;15000")/120</f>
        <v>0.35833333333333334</v>
      </c>
      <c r="C9" s="10" t="s">
        <v>527</v>
      </c>
      <c r="D9" s="10" t="s">
        <v>528</v>
      </c>
    </row>
    <row r="10" spans="1:4" x14ac:dyDescent="0.3">
      <c r="A10" s="10" t="s">
        <v>529</v>
      </c>
      <c r="B10" s="13">
        <f>COUNTIF(Simulated_Data!$BP$2:$BP$121,"&gt;25000")/120</f>
        <v>0.29166666666666669</v>
      </c>
      <c r="C10" s="10" t="s">
        <v>530</v>
      </c>
      <c r="D10" s="10" t="s">
        <v>531</v>
      </c>
    </row>
    <row r="11" spans="1:4" x14ac:dyDescent="0.3">
      <c r="A11" s="10" t="s">
        <v>532</v>
      </c>
      <c r="B11" s="10">
        <f>AVERAGE(Simulated_Data!$BC$2:$BC$121)</f>
        <v>0.3006833333333333</v>
      </c>
      <c r="C11" s="10" t="s">
        <v>533</v>
      </c>
      <c r="D11" s="10" t="s">
        <v>534</v>
      </c>
    </row>
    <row r="12" spans="1:4" x14ac:dyDescent="0.3">
      <c r="A12" s="10" t="s">
        <v>535</v>
      </c>
      <c r="B12" s="13">
        <f>COUNTIF(Simulated_Data!$Q$2:$Q$121,7)/120</f>
        <v>0.4</v>
      </c>
      <c r="C12" s="10" t="s">
        <v>536</v>
      </c>
      <c r="D12" s="10" t="s">
        <v>537</v>
      </c>
    </row>
    <row r="13" spans="1:4" x14ac:dyDescent="0.3">
      <c r="A13" s="10" t="s">
        <v>538</v>
      </c>
      <c r="B13" s="13">
        <f>COUNTIF(Simulated_Data!$R$2:$R$121,"&gt;=8")/120</f>
        <v>0.65833333333333333</v>
      </c>
      <c r="C13" s="10" t="s">
        <v>539</v>
      </c>
      <c r="D13" s="10" t="s">
        <v>540</v>
      </c>
    </row>
    <row r="14" spans="1:4" x14ac:dyDescent="0.3">
      <c r="A14" s="10" t="s">
        <v>541</v>
      </c>
      <c r="B14" s="13">
        <f>COUNTIF(Simulated_Data!$AA$2:$AA$121,"Yes")/120</f>
        <v>0.36666666666666664</v>
      </c>
      <c r="C14" s="10" t="s">
        <v>542</v>
      </c>
      <c r="D14" s="10" t="s">
        <v>543</v>
      </c>
    </row>
    <row r="15" spans="1:4" x14ac:dyDescent="0.3">
      <c r="A15" s="10" t="s">
        <v>544</v>
      </c>
      <c r="B15" s="13">
        <f>COUNTIF(Simulated_Data!$X$2:$X$121,"Lower")/120</f>
        <v>0.60833333333333328</v>
      </c>
      <c r="C15" s="10" t="s">
        <v>545</v>
      </c>
      <c r="D15" s="10" t="s">
        <v>546</v>
      </c>
    </row>
    <row r="16" spans="1:4" x14ac:dyDescent="0.3">
      <c r="A16" s="10" t="s">
        <v>547</v>
      </c>
      <c r="B16" s="13">
        <f>COUNTIF(Simulated_Data!$P$2:$P$121,"Own, on EMI")/120</f>
        <v>0.27500000000000002</v>
      </c>
      <c r="C16" s="10" t="s">
        <v>548</v>
      </c>
      <c r="D16" s="10" t="s">
        <v>549</v>
      </c>
    </row>
    <row r="17" spans="1:4" x14ac:dyDescent="0.3">
      <c r="A17" s="10" t="s">
        <v>550</v>
      </c>
      <c r="B17" s="13">
        <f>(COUNTIF(Simulated_Data!$AN$2:$AN$121,"Yes")+COUNTIF(Simulated_Data!$AN$2:$AN$121,"No"))/120</f>
        <v>0.55000000000000004</v>
      </c>
      <c r="C17" s="10" t="s">
        <v>551</v>
      </c>
      <c r="D17" s="10" t="s">
        <v>552</v>
      </c>
    </row>
    <row r="18" spans="1:4" x14ac:dyDescent="0.3">
      <c r="A18" s="10" t="s">
        <v>553</v>
      </c>
      <c r="B18" s="13">
        <f>COUNTIF(Simulated_Data!$AN$2:$AN$121,"Yes")/(COUNTIF(Simulated_Data!$AN$2:$AN$121,"Yes")+COUNTIF(Simulated_Data!$AN$2:$AN$121,"No"))</f>
        <v>0.27272727272727271</v>
      </c>
      <c r="C18" s="10" t="s">
        <v>554</v>
      </c>
      <c r="D18" s="10" t="s">
        <v>555</v>
      </c>
    </row>
    <row r="19" spans="1:4" x14ac:dyDescent="0.3">
      <c r="A19" s="10" t="s">
        <v>556</v>
      </c>
      <c r="B19" s="13">
        <f>AVERAGE(Simulated_Data!$BM$2:$BM$121)</f>
        <v>0.55833333333333335</v>
      </c>
      <c r="C19" s="10" t="s">
        <v>551</v>
      </c>
      <c r="D19" s="10" t="s">
        <v>472</v>
      </c>
    </row>
    <row r="20" spans="1:4" x14ac:dyDescent="0.3">
      <c r="A20" s="10" t="s">
        <v>557</v>
      </c>
      <c r="B20" s="13">
        <f>COUNTIF(Simulated_Data!$AI$2:$AI$121,"Yes")/120</f>
        <v>0.38333333333333336</v>
      </c>
      <c r="C20" s="10" t="s">
        <v>542</v>
      </c>
      <c r="D20" s="10" t="s">
        <v>472</v>
      </c>
    </row>
    <row r="21" spans="1:4" x14ac:dyDescent="0.3">
      <c r="A21" s="10" t="s">
        <v>558</v>
      </c>
      <c r="B21" s="13">
        <f>COUNTIF(Simulated_Data!$AJ$2:$AJ$121,"Rejected")/COUNTIF(Simulated_Data!$AI$2:$AI$121,"Yes")</f>
        <v>0.41304347826086957</v>
      </c>
      <c r="C21" s="10" t="s">
        <v>559</v>
      </c>
      <c r="D21" s="10" t="s">
        <v>560</v>
      </c>
    </row>
    <row r="22" spans="1:4" x14ac:dyDescent="0.3">
      <c r="A22" s="10" t="s">
        <v>561</v>
      </c>
      <c r="B22" s="13">
        <f>(COUNTIF(Simulated_Data!$AT$2:$AT$121,"4 – Probably yes")+COUNTIF(Simulated_Data!$AT$2:$AT$121,"5 – Definitely yes"))/120</f>
        <v>0.73333333333333328</v>
      </c>
      <c r="C22" s="10" t="s">
        <v>562</v>
      </c>
      <c r="D22" s="10" t="s">
        <v>563</v>
      </c>
    </row>
    <row r="23" spans="1:4" x14ac:dyDescent="0.3">
      <c r="A23" s="10" t="s">
        <v>564</v>
      </c>
      <c r="B23" s="13">
        <f>(COUNTIF(Simulated_Data!$AU$2:$AU$121,"4 – Probably yes")+COUNTIF(Simulated_Data!$AU$2:$AU$121,"5 – Definitely yes"))/120</f>
        <v>0.57499999999999996</v>
      </c>
      <c r="C23" s="10" t="s">
        <v>565</v>
      </c>
      <c r="D23" s="10" t="s">
        <v>566</v>
      </c>
    </row>
    <row r="24" spans="1:4" x14ac:dyDescent="0.3">
      <c r="A24" s="10" t="s">
        <v>567</v>
      </c>
      <c r="B24" s="13">
        <f>(COUNTIF(Simulated_Data!$AF$2:$AF$121,"Yes, fixed amount every month")+COUNTIF(Simulated_Data!$AF$2:$AF$121,"Yes, but irregular"))/120</f>
        <v>0.49166666666666664</v>
      </c>
      <c r="C24" s="10" t="s">
        <v>536</v>
      </c>
      <c r="D24" s="10" t="s">
        <v>568</v>
      </c>
    </row>
    <row r="25" spans="1:4" x14ac:dyDescent="0.3">
      <c r="A25" s="10" t="s">
        <v>569</v>
      </c>
      <c r="B25" s="13">
        <f>(COUNTIF(Simulated_Data!$AC$2:$AC$121,"Sometimes late")+COUNTIF(Simulated_Data!$AC$2:$AC$121,"Often late"))/120</f>
        <v>0.31666666666666665</v>
      </c>
      <c r="C25" s="10" t="s">
        <v>554</v>
      </c>
      <c r="D25" s="10" t="s">
        <v>570</v>
      </c>
    </row>
    <row r="26" spans="1:4" ht="22.8" x14ac:dyDescent="0.3">
      <c r="A26" s="10" t="s">
        <v>571</v>
      </c>
      <c r="B26" s="13" t="str">
        <f>IFERROR(COUNTIFS(Simulated_Data!$AA$2:$AA$121,"No",Simulated_Data!$AN$2:$AN$121,"Yes")/(COUNTIFS(Simulated_Data!$AA$2:$AA$121,"No",Simulated_Data!$AN$2:$AN$121,"Yes")+COUNTIFS(Simulated_Data!$AA$2:$AA$121,"No",Simulated_Data!$AN$2:$AN$121,"No")),"")&amp;" vs "&amp;IFERROR(COUNTIFS(Simulated_Data!$AA$2:$AA$121,"Yes",Simulated_Data!$AN$2:$AN$121,"Yes")/(COUNTIFS(Simulated_Data!$AA$2:$AA$121,"Yes",Simulated_Data!$AN$2:$AN$121,"Yes")+COUNTIFS(Simulated_Data!$AA$2:$AA$121,"Yes",Simulated_Data!$AN$2:$AN$121,"No")),"")</f>
        <v>0.333333333333333 vs 0.166666666666667</v>
      </c>
      <c r="C26" s="10" t="s">
        <v>572</v>
      </c>
      <c r="D26" s="10" t="s">
        <v>573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1"/>
  <sheetViews>
    <sheetView showGridLines="0" tabSelected="1" zoomScaleNormal="100" workbookViewId="0"/>
  </sheetViews>
  <sheetFormatPr defaultColWidth="8.6640625" defaultRowHeight="14.4" x14ac:dyDescent="0.3"/>
  <cols>
    <col min="1" max="1" width="34" customWidth="1"/>
    <col min="2" max="2" width="110" customWidth="1"/>
  </cols>
  <sheetData>
    <row r="2" spans="1:2" ht="16.8" x14ac:dyDescent="0.3">
      <c r="A2" s="7" t="s">
        <v>574</v>
      </c>
    </row>
    <row r="3" spans="1:2" ht="39.75" customHeight="1" x14ac:dyDescent="0.3">
      <c r="B3" s="16" t="s">
        <v>576</v>
      </c>
    </row>
    <row r="4" spans="1:2" ht="39.75" customHeight="1" x14ac:dyDescent="0.3">
      <c r="A4" s="15" t="s">
        <v>575</v>
      </c>
      <c r="B4" s="16" t="s">
        <v>578</v>
      </c>
    </row>
    <row r="5" spans="1:2" ht="39.75" customHeight="1" x14ac:dyDescent="0.3">
      <c r="A5" s="15" t="s">
        <v>577</v>
      </c>
      <c r="B5" s="16" t="s">
        <v>515</v>
      </c>
    </row>
    <row r="6" spans="1:2" ht="39.75" customHeight="1" x14ac:dyDescent="0.3">
      <c r="A6" s="15" t="s">
        <v>514</v>
      </c>
      <c r="B6" s="16" t="s">
        <v>580</v>
      </c>
    </row>
    <row r="7" spans="1:2" ht="39.75" customHeight="1" x14ac:dyDescent="0.3">
      <c r="A7" s="15" t="s">
        <v>579</v>
      </c>
      <c r="B7" s="16" t="s">
        <v>582</v>
      </c>
    </row>
    <row r="8" spans="1:2" ht="39.75" customHeight="1" x14ac:dyDescent="0.3">
      <c r="A8" s="15" t="s">
        <v>581</v>
      </c>
      <c r="B8" s="16" t="s">
        <v>584</v>
      </c>
    </row>
    <row r="9" spans="1:2" ht="39.75" customHeight="1" x14ac:dyDescent="0.3">
      <c r="A9" s="15" t="s">
        <v>583</v>
      </c>
      <c r="B9" s="16" t="s">
        <v>586</v>
      </c>
    </row>
    <row r="10" spans="1:2" ht="39.75" customHeight="1" x14ac:dyDescent="0.3">
      <c r="A10" s="15" t="s">
        <v>585</v>
      </c>
      <c r="B10" s="16" t="s">
        <v>588</v>
      </c>
    </row>
    <row r="11" spans="1:2" x14ac:dyDescent="0.3">
      <c r="A11" s="15" t="s">
        <v>587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READ_FIRST</vt:lpstr>
      <vt:lpstr>Simulated_Data</vt:lpstr>
      <vt:lpstr>Sources_and_Assumptions</vt:lpstr>
      <vt:lpstr>Calibration_Check</vt:lpstr>
      <vt:lpstr>Generation_Log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Shreyash Gaikwad</cp:lastModifiedBy>
  <cp:revision>0</cp:revision>
  <dcterms:created xsi:type="dcterms:W3CDTF">2026-10-11T08:35:17Z</dcterms:created>
  <dcterms:modified xsi:type="dcterms:W3CDTF">2026-10-11T08:45:51Z</dcterms:modified>
  <dc:language>en-US</dc:language>
</cp:coreProperties>
</file>